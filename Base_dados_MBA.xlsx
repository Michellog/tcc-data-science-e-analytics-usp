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MBA_2025\TCC\projeto final\"/>
    </mc:Choice>
  </mc:AlternateContent>
  <xr:revisionPtr revIDLastSave="0" documentId="8_{3B8F4600-F3F0-41A7-80C0-62E83536DF6C}" xr6:coauthVersionLast="47" xr6:coauthVersionMax="47" xr10:uidLastSave="{00000000-0000-0000-0000-000000000000}"/>
  <bookViews>
    <workbookView xWindow="-108" yWindow="-108" windowWidth="23256" windowHeight="12456" tabRatio="500" xr2:uid="{00000000-000D-0000-FFFF-FFFF00000000}"/>
  </bookViews>
  <sheets>
    <sheet name="incidente" sheetId="1" r:id="rId1"/>
  </sheets>
  <definedNames>
    <definedName name="_xlnm._FilterDatabase" localSheetId="0" hidden="1">incidente!$A$1:$V$417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417" i="1" l="1"/>
  <c r="X417" i="1" s="1"/>
  <c r="W416" i="1"/>
  <c r="X416" i="1" s="1"/>
  <c r="W415" i="1"/>
  <c r="X415" i="1" s="1"/>
  <c r="W414" i="1"/>
  <c r="X414" i="1" s="1"/>
  <c r="W413" i="1"/>
  <c r="X413" i="1" s="1"/>
  <c r="W412" i="1"/>
  <c r="X412" i="1" s="1"/>
  <c r="W411" i="1"/>
  <c r="X411" i="1" s="1"/>
  <c r="W410" i="1"/>
  <c r="X410" i="1" s="1"/>
  <c r="W409" i="1"/>
  <c r="X409" i="1" s="1"/>
  <c r="W408" i="1"/>
  <c r="X408" i="1" s="1"/>
  <c r="W407" i="1"/>
  <c r="X407" i="1" s="1"/>
  <c r="W406" i="1"/>
  <c r="X406" i="1" s="1"/>
  <c r="W405" i="1"/>
  <c r="X405" i="1" s="1"/>
  <c r="W404" i="1"/>
  <c r="X404" i="1" s="1"/>
  <c r="W403" i="1"/>
  <c r="X403" i="1" s="1"/>
  <c r="W402" i="1"/>
  <c r="X402" i="1" s="1"/>
  <c r="W401" i="1"/>
  <c r="X401" i="1" s="1"/>
  <c r="W400" i="1"/>
  <c r="X400" i="1" s="1"/>
  <c r="W399" i="1"/>
  <c r="X399" i="1" s="1"/>
  <c r="W398" i="1"/>
  <c r="X398" i="1" s="1"/>
  <c r="W397" i="1"/>
  <c r="X397" i="1" s="1"/>
  <c r="W396" i="1"/>
  <c r="X396" i="1" s="1"/>
  <c r="W395" i="1"/>
  <c r="X395" i="1" s="1"/>
  <c r="W394" i="1"/>
  <c r="X394" i="1" s="1"/>
  <c r="W393" i="1"/>
  <c r="X393" i="1" s="1"/>
  <c r="W392" i="1"/>
  <c r="X392" i="1" s="1"/>
  <c r="W391" i="1"/>
  <c r="X391" i="1" s="1"/>
  <c r="W390" i="1"/>
  <c r="X390" i="1" s="1"/>
  <c r="W389" i="1"/>
  <c r="X389" i="1" s="1"/>
  <c r="W388" i="1"/>
  <c r="X388" i="1" s="1"/>
  <c r="W387" i="1"/>
  <c r="X387" i="1" s="1"/>
  <c r="W386" i="1"/>
  <c r="X386" i="1" s="1"/>
  <c r="W385" i="1"/>
  <c r="X385" i="1" s="1"/>
  <c r="W384" i="1"/>
  <c r="X384" i="1" s="1"/>
  <c r="W383" i="1"/>
  <c r="X383" i="1" s="1"/>
  <c r="W382" i="1"/>
  <c r="X382" i="1" s="1"/>
  <c r="W381" i="1"/>
  <c r="X381" i="1" s="1"/>
  <c r="W380" i="1"/>
  <c r="X380" i="1" s="1"/>
  <c r="W379" i="1"/>
  <c r="X379" i="1" s="1"/>
  <c r="W378" i="1"/>
  <c r="X378" i="1" s="1"/>
  <c r="W377" i="1"/>
  <c r="X377" i="1" s="1"/>
  <c r="W376" i="1"/>
  <c r="X376" i="1" s="1"/>
  <c r="W375" i="1"/>
  <c r="X375" i="1" s="1"/>
  <c r="W374" i="1"/>
  <c r="X374" i="1" s="1"/>
  <c r="W373" i="1"/>
  <c r="X373" i="1" s="1"/>
  <c r="W372" i="1"/>
  <c r="X372" i="1" s="1"/>
  <c r="W371" i="1"/>
  <c r="X371" i="1" s="1"/>
  <c r="W370" i="1"/>
  <c r="X370" i="1" s="1"/>
  <c r="W369" i="1"/>
  <c r="X369" i="1" s="1"/>
  <c r="W368" i="1"/>
  <c r="X368" i="1" s="1"/>
  <c r="W367" i="1"/>
  <c r="X367" i="1" s="1"/>
  <c r="W366" i="1"/>
  <c r="X366" i="1" s="1"/>
  <c r="W365" i="1"/>
  <c r="X365" i="1" s="1"/>
  <c r="W364" i="1"/>
  <c r="X364" i="1" s="1"/>
  <c r="W363" i="1"/>
  <c r="X363" i="1" s="1"/>
  <c r="W362" i="1"/>
  <c r="X362" i="1" s="1"/>
  <c r="W361" i="1"/>
  <c r="X361" i="1" s="1"/>
  <c r="W360" i="1"/>
  <c r="X360" i="1" s="1"/>
  <c r="W359" i="1"/>
  <c r="X359" i="1" s="1"/>
  <c r="W358" i="1"/>
  <c r="X358" i="1" s="1"/>
  <c r="W357" i="1"/>
  <c r="X357" i="1" s="1"/>
  <c r="W356" i="1"/>
  <c r="X356" i="1" s="1"/>
  <c r="W355" i="1"/>
  <c r="X355" i="1" s="1"/>
  <c r="W354" i="1"/>
  <c r="X354" i="1" s="1"/>
  <c r="W353" i="1"/>
  <c r="X353" i="1" s="1"/>
  <c r="W352" i="1"/>
  <c r="X352" i="1" s="1"/>
  <c r="W351" i="1"/>
  <c r="X351" i="1" s="1"/>
  <c r="W350" i="1"/>
  <c r="X350" i="1" s="1"/>
  <c r="W349" i="1"/>
  <c r="X349" i="1" s="1"/>
  <c r="W348" i="1"/>
  <c r="X348" i="1" s="1"/>
  <c r="W347" i="1"/>
  <c r="X347" i="1" s="1"/>
  <c r="W346" i="1"/>
  <c r="X346" i="1" s="1"/>
  <c r="W345" i="1"/>
  <c r="X345" i="1" s="1"/>
  <c r="W344" i="1"/>
  <c r="X344" i="1" s="1"/>
  <c r="W343" i="1"/>
  <c r="X343" i="1" s="1"/>
  <c r="W342" i="1"/>
  <c r="X342" i="1" s="1"/>
  <c r="W341" i="1"/>
  <c r="X341" i="1" s="1"/>
  <c r="W340" i="1"/>
  <c r="X340" i="1" s="1"/>
  <c r="W339" i="1"/>
  <c r="X339" i="1" s="1"/>
  <c r="W338" i="1"/>
  <c r="X338" i="1" s="1"/>
  <c r="W337" i="1"/>
  <c r="X337" i="1" s="1"/>
  <c r="W336" i="1"/>
  <c r="X336" i="1" s="1"/>
  <c r="W335" i="1"/>
  <c r="X335" i="1" s="1"/>
  <c r="W334" i="1"/>
  <c r="X334" i="1" s="1"/>
  <c r="W333" i="1"/>
  <c r="X333" i="1" s="1"/>
  <c r="W332" i="1"/>
  <c r="X332" i="1" s="1"/>
  <c r="W331" i="1"/>
  <c r="X331" i="1" s="1"/>
  <c r="W330" i="1"/>
  <c r="X330" i="1" s="1"/>
  <c r="W329" i="1"/>
  <c r="X329" i="1" s="1"/>
  <c r="W328" i="1"/>
  <c r="X328" i="1" s="1"/>
  <c r="W327" i="1"/>
  <c r="X327" i="1" s="1"/>
  <c r="W326" i="1"/>
  <c r="X326" i="1" s="1"/>
  <c r="W325" i="1"/>
  <c r="X325" i="1" s="1"/>
  <c r="W324" i="1"/>
  <c r="X324" i="1" s="1"/>
  <c r="W323" i="1"/>
  <c r="X323" i="1" s="1"/>
  <c r="W322" i="1"/>
  <c r="X322" i="1" s="1"/>
  <c r="W321" i="1"/>
  <c r="X321" i="1" s="1"/>
  <c r="W320" i="1"/>
  <c r="X320" i="1" s="1"/>
  <c r="W319" i="1"/>
  <c r="X319" i="1" s="1"/>
  <c r="W318" i="1"/>
  <c r="X318" i="1" s="1"/>
  <c r="W317" i="1"/>
  <c r="X317" i="1" s="1"/>
  <c r="W316" i="1"/>
  <c r="X316" i="1" s="1"/>
  <c r="W315" i="1"/>
  <c r="X315" i="1" s="1"/>
  <c r="W314" i="1"/>
  <c r="X314" i="1" s="1"/>
  <c r="W313" i="1"/>
  <c r="X313" i="1" s="1"/>
  <c r="W312" i="1"/>
  <c r="X312" i="1" s="1"/>
  <c r="W311" i="1"/>
  <c r="X311" i="1" s="1"/>
  <c r="W310" i="1"/>
  <c r="X310" i="1" s="1"/>
  <c r="W309" i="1"/>
  <c r="X309" i="1" s="1"/>
  <c r="W308" i="1"/>
  <c r="X308" i="1" s="1"/>
  <c r="W307" i="1"/>
  <c r="X307" i="1" s="1"/>
  <c r="W306" i="1"/>
  <c r="X306" i="1" s="1"/>
  <c r="W305" i="1"/>
  <c r="X305" i="1" s="1"/>
  <c r="W304" i="1"/>
  <c r="X304" i="1" s="1"/>
  <c r="W303" i="1"/>
  <c r="X303" i="1" s="1"/>
  <c r="W302" i="1"/>
  <c r="X302" i="1" s="1"/>
  <c r="W301" i="1"/>
  <c r="X301" i="1" s="1"/>
  <c r="W300" i="1"/>
  <c r="X300" i="1" s="1"/>
  <c r="W299" i="1"/>
  <c r="X299" i="1" s="1"/>
  <c r="W298" i="1"/>
  <c r="X298" i="1" s="1"/>
  <c r="W297" i="1"/>
  <c r="X297" i="1" s="1"/>
  <c r="W296" i="1"/>
  <c r="X296" i="1" s="1"/>
  <c r="W295" i="1"/>
  <c r="X295" i="1" s="1"/>
  <c r="W294" i="1"/>
  <c r="X294" i="1" s="1"/>
  <c r="W293" i="1"/>
  <c r="X293" i="1" s="1"/>
  <c r="W292" i="1"/>
  <c r="X292" i="1" s="1"/>
  <c r="W291" i="1"/>
  <c r="X291" i="1" s="1"/>
  <c r="W290" i="1"/>
  <c r="X290" i="1" s="1"/>
  <c r="W289" i="1"/>
  <c r="X289" i="1" s="1"/>
  <c r="W288" i="1"/>
  <c r="X288" i="1" s="1"/>
  <c r="W287" i="1"/>
  <c r="X287" i="1" s="1"/>
  <c r="W286" i="1"/>
  <c r="X286" i="1" s="1"/>
  <c r="W285" i="1"/>
  <c r="X285" i="1" s="1"/>
  <c r="W284" i="1"/>
  <c r="X284" i="1" s="1"/>
  <c r="W283" i="1"/>
  <c r="X283" i="1" s="1"/>
  <c r="W282" i="1"/>
  <c r="X282" i="1" s="1"/>
  <c r="W281" i="1"/>
  <c r="X281" i="1" s="1"/>
  <c r="W280" i="1"/>
  <c r="X280" i="1" s="1"/>
  <c r="W279" i="1"/>
  <c r="X279" i="1" s="1"/>
  <c r="W278" i="1"/>
  <c r="X278" i="1" s="1"/>
  <c r="W277" i="1"/>
  <c r="X277" i="1" s="1"/>
  <c r="W276" i="1"/>
  <c r="X276" i="1" s="1"/>
  <c r="W275" i="1"/>
  <c r="X275" i="1" s="1"/>
  <c r="W274" i="1"/>
  <c r="X274" i="1" s="1"/>
  <c r="W273" i="1"/>
  <c r="X273" i="1" s="1"/>
  <c r="W272" i="1"/>
  <c r="X272" i="1" s="1"/>
  <c r="W271" i="1"/>
  <c r="X271" i="1" s="1"/>
  <c r="W270" i="1"/>
  <c r="X270" i="1" s="1"/>
  <c r="W269" i="1"/>
  <c r="X269" i="1" s="1"/>
  <c r="W268" i="1"/>
  <c r="X268" i="1" s="1"/>
  <c r="W267" i="1"/>
  <c r="X267" i="1" s="1"/>
  <c r="W266" i="1"/>
  <c r="X266" i="1" s="1"/>
  <c r="W265" i="1"/>
  <c r="X265" i="1" s="1"/>
  <c r="W264" i="1"/>
  <c r="X264" i="1" s="1"/>
  <c r="W263" i="1"/>
  <c r="X263" i="1" s="1"/>
  <c r="W262" i="1"/>
  <c r="X262" i="1" s="1"/>
  <c r="W261" i="1"/>
  <c r="X261" i="1" s="1"/>
  <c r="W260" i="1"/>
  <c r="X260" i="1" s="1"/>
  <c r="W259" i="1"/>
  <c r="X259" i="1" s="1"/>
  <c r="W258" i="1"/>
  <c r="X258" i="1" s="1"/>
  <c r="W257" i="1"/>
  <c r="X257" i="1" s="1"/>
  <c r="W256" i="1"/>
  <c r="X256" i="1" s="1"/>
  <c r="W255" i="1"/>
  <c r="X255" i="1" s="1"/>
  <c r="W254" i="1"/>
  <c r="X254" i="1" s="1"/>
  <c r="W253" i="1"/>
  <c r="X253" i="1" s="1"/>
  <c r="W252" i="1"/>
  <c r="X252" i="1" s="1"/>
  <c r="W251" i="1"/>
  <c r="X251" i="1" s="1"/>
  <c r="W250" i="1"/>
  <c r="X250" i="1" s="1"/>
  <c r="W249" i="1"/>
  <c r="X249" i="1" s="1"/>
  <c r="W248" i="1"/>
  <c r="X248" i="1" s="1"/>
  <c r="W247" i="1"/>
  <c r="X247" i="1" s="1"/>
  <c r="W246" i="1"/>
  <c r="X246" i="1" s="1"/>
  <c r="W245" i="1"/>
  <c r="X245" i="1" s="1"/>
  <c r="W244" i="1"/>
  <c r="X244" i="1" s="1"/>
  <c r="W243" i="1"/>
  <c r="X243" i="1" s="1"/>
  <c r="W242" i="1"/>
  <c r="X242" i="1" s="1"/>
  <c r="W241" i="1"/>
  <c r="X241" i="1" s="1"/>
  <c r="W240" i="1"/>
  <c r="X240" i="1" s="1"/>
  <c r="W239" i="1"/>
  <c r="X239" i="1" s="1"/>
  <c r="W238" i="1"/>
  <c r="X238" i="1" s="1"/>
  <c r="W237" i="1"/>
  <c r="X237" i="1" s="1"/>
  <c r="W236" i="1"/>
  <c r="X236" i="1" s="1"/>
  <c r="W235" i="1"/>
  <c r="X235" i="1" s="1"/>
  <c r="W234" i="1"/>
  <c r="X234" i="1" s="1"/>
  <c r="W233" i="1"/>
  <c r="X233" i="1" s="1"/>
  <c r="W232" i="1"/>
  <c r="X232" i="1" s="1"/>
  <c r="W231" i="1"/>
  <c r="X231" i="1" s="1"/>
  <c r="W230" i="1"/>
  <c r="X230" i="1" s="1"/>
  <c r="W229" i="1"/>
  <c r="X229" i="1" s="1"/>
  <c r="W228" i="1"/>
  <c r="X228" i="1" s="1"/>
  <c r="W227" i="1"/>
  <c r="X227" i="1" s="1"/>
  <c r="W226" i="1"/>
  <c r="X226" i="1" s="1"/>
  <c r="W225" i="1"/>
  <c r="X225" i="1" s="1"/>
  <c r="W224" i="1"/>
  <c r="X224" i="1" s="1"/>
  <c r="W223" i="1"/>
  <c r="X223" i="1" s="1"/>
  <c r="W222" i="1"/>
  <c r="X222" i="1" s="1"/>
  <c r="W221" i="1"/>
  <c r="X221" i="1" s="1"/>
  <c r="W220" i="1"/>
  <c r="X220" i="1" s="1"/>
  <c r="W219" i="1"/>
  <c r="X219" i="1" s="1"/>
  <c r="W218" i="1"/>
  <c r="X218" i="1" s="1"/>
  <c r="W217" i="1"/>
  <c r="X217" i="1" s="1"/>
  <c r="W216" i="1"/>
  <c r="X216" i="1" s="1"/>
  <c r="W215" i="1"/>
  <c r="X215" i="1" s="1"/>
  <c r="W214" i="1"/>
  <c r="X214" i="1" s="1"/>
  <c r="W213" i="1"/>
  <c r="X213" i="1" s="1"/>
  <c r="W212" i="1"/>
  <c r="X212" i="1" s="1"/>
  <c r="W211" i="1"/>
  <c r="X211" i="1" s="1"/>
  <c r="W210" i="1"/>
  <c r="X210" i="1" s="1"/>
  <c r="W209" i="1"/>
  <c r="X209" i="1" s="1"/>
  <c r="W208" i="1"/>
  <c r="X208" i="1" s="1"/>
  <c r="W207" i="1"/>
  <c r="X207" i="1" s="1"/>
  <c r="W206" i="1"/>
  <c r="X206" i="1" s="1"/>
  <c r="W205" i="1"/>
  <c r="X205" i="1" s="1"/>
  <c r="W204" i="1"/>
  <c r="X204" i="1" s="1"/>
  <c r="W203" i="1"/>
  <c r="X203" i="1" s="1"/>
  <c r="W202" i="1"/>
  <c r="X202" i="1" s="1"/>
  <c r="W201" i="1"/>
  <c r="X201" i="1" s="1"/>
  <c r="W200" i="1"/>
  <c r="X200" i="1" s="1"/>
  <c r="W199" i="1"/>
  <c r="X199" i="1" s="1"/>
  <c r="W198" i="1"/>
  <c r="X198" i="1" s="1"/>
  <c r="W197" i="1"/>
  <c r="X197" i="1" s="1"/>
  <c r="W196" i="1"/>
  <c r="X196" i="1" s="1"/>
  <c r="W195" i="1"/>
  <c r="X195" i="1" s="1"/>
  <c r="W194" i="1"/>
  <c r="X194" i="1" s="1"/>
  <c r="W193" i="1"/>
  <c r="X193" i="1" s="1"/>
  <c r="W192" i="1"/>
  <c r="X192" i="1" s="1"/>
  <c r="W191" i="1"/>
  <c r="X191" i="1" s="1"/>
  <c r="W190" i="1"/>
  <c r="X190" i="1" s="1"/>
  <c r="W189" i="1"/>
  <c r="X189" i="1" s="1"/>
  <c r="W188" i="1"/>
  <c r="X188" i="1" s="1"/>
  <c r="W187" i="1"/>
  <c r="X187" i="1" s="1"/>
  <c r="W186" i="1"/>
  <c r="X186" i="1" s="1"/>
  <c r="W185" i="1"/>
  <c r="X185" i="1" s="1"/>
  <c r="W184" i="1"/>
  <c r="X184" i="1" s="1"/>
  <c r="W183" i="1"/>
  <c r="X183" i="1" s="1"/>
  <c r="W182" i="1"/>
  <c r="X182" i="1" s="1"/>
  <c r="W181" i="1"/>
  <c r="X181" i="1" s="1"/>
  <c r="W180" i="1"/>
  <c r="X180" i="1" s="1"/>
  <c r="W179" i="1"/>
  <c r="X179" i="1" s="1"/>
  <c r="W178" i="1"/>
  <c r="X178" i="1" s="1"/>
  <c r="W177" i="1"/>
  <c r="X177" i="1" s="1"/>
  <c r="W176" i="1"/>
  <c r="X176" i="1" s="1"/>
  <c r="W175" i="1"/>
  <c r="X175" i="1" s="1"/>
  <c r="W174" i="1"/>
  <c r="X174" i="1" s="1"/>
  <c r="W173" i="1"/>
  <c r="X173" i="1" s="1"/>
  <c r="W172" i="1"/>
  <c r="X172" i="1" s="1"/>
  <c r="W171" i="1"/>
  <c r="X171" i="1" s="1"/>
  <c r="W170" i="1"/>
  <c r="X170" i="1" s="1"/>
  <c r="W169" i="1"/>
  <c r="X169" i="1" s="1"/>
  <c r="W168" i="1"/>
  <c r="X168" i="1" s="1"/>
  <c r="W167" i="1"/>
  <c r="X167" i="1" s="1"/>
  <c r="W166" i="1"/>
  <c r="X166" i="1" s="1"/>
  <c r="W165" i="1"/>
  <c r="X165" i="1" s="1"/>
  <c r="W164" i="1"/>
  <c r="X164" i="1" s="1"/>
  <c r="W163" i="1"/>
  <c r="X163" i="1" s="1"/>
  <c r="W162" i="1"/>
  <c r="X162" i="1" s="1"/>
  <c r="W161" i="1"/>
  <c r="X161" i="1" s="1"/>
  <c r="W160" i="1"/>
  <c r="X160" i="1" s="1"/>
  <c r="W159" i="1"/>
  <c r="X159" i="1" s="1"/>
  <c r="W158" i="1"/>
  <c r="X158" i="1" s="1"/>
  <c r="W157" i="1"/>
  <c r="X157" i="1" s="1"/>
  <c r="W156" i="1"/>
  <c r="X156" i="1" s="1"/>
  <c r="W155" i="1"/>
  <c r="X155" i="1" s="1"/>
  <c r="W154" i="1"/>
  <c r="X154" i="1" s="1"/>
  <c r="W153" i="1"/>
  <c r="X153" i="1" s="1"/>
  <c r="W152" i="1"/>
  <c r="X152" i="1" s="1"/>
  <c r="W151" i="1"/>
  <c r="X151" i="1" s="1"/>
  <c r="W150" i="1"/>
  <c r="X150" i="1" s="1"/>
  <c r="W149" i="1"/>
  <c r="X149" i="1" s="1"/>
  <c r="W148" i="1"/>
  <c r="X148" i="1" s="1"/>
  <c r="W147" i="1"/>
  <c r="X147" i="1" s="1"/>
  <c r="W146" i="1"/>
  <c r="X146" i="1" s="1"/>
  <c r="W145" i="1"/>
  <c r="X145" i="1" s="1"/>
  <c r="W144" i="1"/>
  <c r="X144" i="1" s="1"/>
  <c r="W143" i="1"/>
  <c r="X143" i="1" s="1"/>
  <c r="W142" i="1"/>
  <c r="X142" i="1" s="1"/>
  <c r="W141" i="1"/>
  <c r="X141" i="1" s="1"/>
  <c r="W140" i="1"/>
  <c r="X140" i="1" s="1"/>
  <c r="W139" i="1"/>
  <c r="X139" i="1" s="1"/>
  <c r="W138" i="1"/>
  <c r="X138" i="1" s="1"/>
  <c r="W137" i="1"/>
  <c r="X137" i="1" s="1"/>
  <c r="W136" i="1"/>
  <c r="X136" i="1" s="1"/>
  <c r="W135" i="1"/>
  <c r="X135" i="1" s="1"/>
  <c r="W134" i="1"/>
  <c r="X134" i="1" s="1"/>
  <c r="W133" i="1"/>
  <c r="X133" i="1" s="1"/>
  <c r="W132" i="1"/>
  <c r="X132" i="1" s="1"/>
  <c r="W131" i="1"/>
  <c r="X131" i="1" s="1"/>
  <c r="W130" i="1"/>
  <c r="X130" i="1" s="1"/>
  <c r="W129" i="1"/>
  <c r="X129" i="1" s="1"/>
  <c r="W128" i="1"/>
  <c r="X128" i="1" s="1"/>
  <c r="W127" i="1"/>
  <c r="X127" i="1" s="1"/>
  <c r="W126" i="1"/>
  <c r="X126" i="1" s="1"/>
  <c r="W125" i="1"/>
  <c r="X125" i="1" s="1"/>
  <c r="W124" i="1"/>
  <c r="X124" i="1" s="1"/>
  <c r="W123" i="1"/>
  <c r="X123" i="1" s="1"/>
  <c r="W122" i="1"/>
  <c r="X122" i="1" s="1"/>
  <c r="W121" i="1"/>
  <c r="X121" i="1" s="1"/>
  <c r="W120" i="1"/>
  <c r="X120" i="1" s="1"/>
  <c r="W119" i="1"/>
  <c r="X119" i="1" s="1"/>
  <c r="W118" i="1"/>
  <c r="X118" i="1" s="1"/>
  <c r="W117" i="1"/>
  <c r="X117" i="1" s="1"/>
  <c r="W116" i="1"/>
  <c r="X116" i="1" s="1"/>
  <c r="W115" i="1"/>
  <c r="X115" i="1" s="1"/>
  <c r="W114" i="1"/>
  <c r="X114" i="1" s="1"/>
  <c r="W113" i="1"/>
  <c r="X113" i="1" s="1"/>
  <c r="W112" i="1"/>
  <c r="X112" i="1" s="1"/>
  <c r="W111" i="1"/>
  <c r="X111" i="1" s="1"/>
  <c r="W110" i="1"/>
  <c r="X110" i="1" s="1"/>
  <c r="W109" i="1"/>
  <c r="X109" i="1" s="1"/>
  <c r="W108" i="1"/>
  <c r="X108" i="1" s="1"/>
  <c r="W107" i="1"/>
  <c r="X107" i="1" s="1"/>
  <c r="W106" i="1"/>
  <c r="X106" i="1" s="1"/>
  <c r="W105" i="1"/>
  <c r="X105" i="1" s="1"/>
  <c r="W104" i="1"/>
  <c r="X104" i="1" s="1"/>
  <c r="W103" i="1"/>
  <c r="X103" i="1" s="1"/>
  <c r="W102" i="1"/>
  <c r="X102" i="1" s="1"/>
  <c r="W101" i="1"/>
  <c r="X101" i="1" s="1"/>
  <c r="W100" i="1"/>
  <c r="X100" i="1" s="1"/>
  <c r="W99" i="1"/>
  <c r="X99" i="1" s="1"/>
  <c r="W98" i="1"/>
  <c r="X98" i="1" s="1"/>
  <c r="W97" i="1"/>
  <c r="X97" i="1" s="1"/>
  <c r="W96" i="1"/>
  <c r="X96" i="1" s="1"/>
  <c r="W95" i="1"/>
  <c r="X95" i="1" s="1"/>
  <c r="W94" i="1"/>
  <c r="X94" i="1" s="1"/>
  <c r="W93" i="1"/>
  <c r="X93" i="1" s="1"/>
  <c r="W92" i="1"/>
  <c r="X92" i="1" s="1"/>
  <c r="W91" i="1"/>
  <c r="X91" i="1" s="1"/>
  <c r="W90" i="1"/>
  <c r="X90" i="1" s="1"/>
  <c r="W89" i="1"/>
  <c r="X89" i="1" s="1"/>
  <c r="W88" i="1"/>
  <c r="X88" i="1" s="1"/>
  <c r="W87" i="1"/>
  <c r="X87" i="1" s="1"/>
  <c r="W86" i="1"/>
  <c r="X86" i="1" s="1"/>
  <c r="W85" i="1"/>
  <c r="X85" i="1" s="1"/>
  <c r="W84" i="1"/>
  <c r="X84" i="1" s="1"/>
  <c r="W83" i="1"/>
  <c r="X83" i="1" s="1"/>
  <c r="W82" i="1"/>
  <c r="X82" i="1" s="1"/>
  <c r="W81" i="1"/>
  <c r="X81" i="1" s="1"/>
  <c r="W80" i="1"/>
  <c r="X80" i="1" s="1"/>
  <c r="W79" i="1"/>
  <c r="X79" i="1" s="1"/>
  <c r="W78" i="1"/>
  <c r="X78" i="1" s="1"/>
  <c r="W77" i="1"/>
  <c r="X77" i="1" s="1"/>
  <c r="W76" i="1"/>
  <c r="X76" i="1" s="1"/>
  <c r="W75" i="1"/>
  <c r="X75" i="1" s="1"/>
  <c r="W74" i="1"/>
  <c r="X74" i="1" s="1"/>
  <c r="W73" i="1"/>
  <c r="X73" i="1" s="1"/>
  <c r="W72" i="1"/>
  <c r="X72" i="1" s="1"/>
  <c r="W71" i="1"/>
  <c r="X71" i="1" s="1"/>
  <c r="W70" i="1"/>
  <c r="X70" i="1" s="1"/>
  <c r="W69" i="1"/>
  <c r="X69" i="1" s="1"/>
  <c r="W68" i="1"/>
  <c r="X68" i="1" s="1"/>
  <c r="W67" i="1"/>
  <c r="X67" i="1" s="1"/>
  <c r="W66" i="1"/>
  <c r="X66" i="1" s="1"/>
  <c r="W65" i="1"/>
  <c r="X65" i="1" s="1"/>
  <c r="W64" i="1"/>
  <c r="X64" i="1" s="1"/>
  <c r="W63" i="1"/>
  <c r="X63" i="1" s="1"/>
  <c r="W62" i="1"/>
  <c r="X62" i="1" s="1"/>
  <c r="W61" i="1"/>
  <c r="X61" i="1" s="1"/>
  <c r="W60" i="1"/>
  <c r="X60" i="1" s="1"/>
  <c r="W59" i="1"/>
  <c r="X59" i="1" s="1"/>
  <c r="W58" i="1"/>
  <c r="X58" i="1" s="1"/>
  <c r="W57" i="1"/>
  <c r="X57" i="1" s="1"/>
  <c r="W56" i="1"/>
  <c r="X56" i="1" s="1"/>
  <c r="W55" i="1"/>
  <c r="X55" i="1" s="1"/>
  <c r="W54" i="1"/>
  <c r="X54" i="1" s="1"/>
  <c r="W53" i="1"/>
  <c r="X53" i="1" s="1"/>
  <c r="W52" i="1"/>
  <c r="X52" i="1" s="1"/>
  <c r="W51" i="1"/>
  <c r="X51" i="1" s="1"/>
  <c r="W50" i="1"/>
  <c r="X50" i="1" s="1"/>
  <c r="W49" i="1"/>
  <c r="X49" i="1" s="1"/>
  <c r="W48" i="1"/>
  <c r="X48" i="1" s="1"/>
  <c r="W47" i="1"/>
  <c r="X47" i="1" s="1"/>
  <c r="W46" i="1"/>
  <c r="X46" i="1" s="1"/>
  <c r="W45" i="1"/>
  <c r="X45" i="1" s="1"/>
  <c r="W44" i="1"/>
  <c r="X44" i="1" s="1"/>
  <c r="W43" i="1"/>
  <c r="X43" i="1" s="1"/>
  <c r="W42" i="1"/>
  <c r="X42" i="1" s="1"/>
  <c r="W41" i="1"/>
  <c r="X41" i="1" s="1"/>
  <c r="W40" i="1"/>
  <c r="X40" i="1" s="1"/>
  <c r="W39" i="1"/>
  <c r="X39" i="1" s="1"/>
  <c r="W38" i="1"/>
  <c r="X38" i="1" s="1"/>
  <c r="W37" i="1"/>
  <c r="X37" i="1" s="1"/>
  <c r="W36" i="1"/>
  <c r="X36" i="1" s="1"/>
  <c r="W35" i="1"/>
  <c r="X35" i="1" s="1"/>
  <c r="W34" i="1"/>
  <c r="X34" i="1" s="1"/>
  <c r="W33" i="1"/>
  <c r="X33" i="1" s="1"/>
  <c r="W32" i="1"/>
  <c r="X32" i="1" s="1"/>
  <c r="W31" i="1"/>
  <c r="X31" i="1" s="1"/>
  <c r="W30" i="1"/>
  <c r="X30" i="1" s="1"/>
  <c r="W29" i="1"/>
  <c r="X29" i="1" s="1"/>
  <c r="W28" i="1"/>
  <c r="X28" i="1" s="1"/>
  <c r="W27" i="1"/>
  <c r="X27" i="1" s="1"/>
  <c r="W26" i="1"/>
  <c r="X26" i="1" s="1"/>
  <c r="W25" i="1"/>
  <c r="X25" i="1" s="1"/>
  <c r="W24" i="1"/>
  <c r="X24" i="1" s="1"/>
  <c r="W23" i="1"/>
  <c r="X23" i="1" s="1"/>
  <c r="W22" i="1"/>
  <c r="X22" i="1" s="1"/>
  <c r="W21" i="1"/>
  <c r="X21" i="1" s="1"/>
  <c r="W20" i="1"/>
  <c r="X20" i="1" s="1"/>
  <c r="W19" i="1"/>
  <c r="X19" i="1" s="1"/>
  <c r="W18" i="1"/>
  <c r="X18" i="1" s="1"/>
  <c r="W17" i="1"/>
  <c r="X17" i="1" s="1"/>
  <c r="W16" i="1"/>
  <c r="X16" i="1" s="1"/>
  <c r="W15" i="1"/>
  <c r="X15" i="1" s="1"/>
  <c r="W14" i="1"/>
  <c r="X14" i="1" s="1"/>
  <c r="W13" i="1"/>
  <c r="X13" i="1" s="1"/>
  <c r="W12" i="1"/>
  <c r="X12" i="1" s="1"/>
  <c r="W11" i="1"/>
  <c r="X11" i="1" s="1"/>
  <c r="W10" i="1"/>
  <c r="X10" i="1" s="1"/>
  <c r="W9" i="1"/>
  <c r="X9" i="1" s="1"/>
  <c r="W8" i="1"/>
  <c r="X8" i="1" s="1"/>
  <c r="W7" i="1"/>
  <c r="X7" i="1" s="1"/>
  <c r="W6" i="1"/>
  <c r="X6" i="1" s="1"/>
  <c r="W5" i="1"/>
  <c r="X5" i="1" s="1"/>
  <c r="W4" i="1"/>
  <c r="X4" i="1" s="1"/>
  <c r="W3" i="1"/>
  <c r="X3" i="1" s="1"/>
  <c r="W2" i="1"/>
  <c r="X2" i="1" s="1"/>
</calcChain>
</file>

<file path=xl/sharedStrings.xml><?xml version="1.0" encoding="utf-8"?>
<sst xmlns="http://schemas.openxmlformats.org/spreadsheetml/2006/main" count="6543" uniqueCount="1394">
  <si>
    <t xml:space="preserve">Número </t>
  </si>
  <si>
    <t>Serviço</t>
  </si>
  <si>
    <t>IC afetado</t>
  </si>
  <si>
    <t>Estado</t>
  </si>
  <si>
    <t>Aberto</t>
  </si>
  <si>
    <t>Encerrado</t>
  </si>
  <si>
    <t>Atualizado em:</t>
  </si>
  <si>
    <t>Descrição resumida</t>
  </si>
  <si>
    <t>Descrição</t>
  </si>
  <si>
    <t>Solicitante</t>
  </si>
  <si>
    <t>Prioridade</t>
  </si>
  <si>
    <t>Grupo de atribuição</t>
  </si>
  <si>
    <t>Atribuído a</t>
  </si>
  <si>
    <t>SLA</t>
  </si>
  <si>
    <t>Empresa</t>
  </si>
  <si>
    <t>Local</t>
  </si>
  <si>
    <t>Código de resolução</t>
  </si>
  <si>
    <t>Aging category</t>
  </si>
  <si>
    <t>Duração</t>
  </si>
  <si>
    <t>Anotações de resolução</t>
  </si>
  <si>
    <t>Tipo de contato</t>
  </si>
  <si>
    <t>Resolvido</t>
  </si>
  <si>
    <t>Reincidência (qtd. chamados do solicitante no mesmo IC afetado)</t>
  </si>
  <si>
    <t>Reincidente (Sim/Não)</t>
  </si>
  <si>
    <t>INC441875T</t>
  </si>
  <si>
    <t>Incidente</t>
  </si>
  <si>
    <t>EBS - Enterprise Asset Management (EAM)</t>
  </si>
  <si>
    <t>EProblema con EBS</t>
  </si>
  <si>
    <t>hola tengo un problema que el programa ebs no rastrea las facturas desde mi usuario 013200. adjunto capturas de como con la chapa espejo 013205 la misma factura si puede ser rastreada en sistemas. y los accesos que tenemos cada usuario.</t>
  </si>
  <si>
    <t>Adriana</t>
  </si>
  <si>
    <t>3 - Moderado(a)</t>
  </si>
  <si>
    <t>EBS</t>
  </si>
  <si>
    <t>Oliveira</t>
  </si>
  <si>
    <t>Varejo Argentina</t>
  </si>
  <si>
    <t>13003 - LJ FLORIDA</t>
  </si>
  <si>
    <t>Dúvida/Orientação</t>
  </si>
  <si>
    <t>0-2 Dias</t>
  </si>
  <si>
    <t>Olá, tudo bem?
Não é com o seu usuário, o que ocorre é que está utilizando a responsabilidade _AP_CONSULTA e não consegue visualizar notas na argentina.
Você precisa da responsabilidade AR__AP_CONSULTA para a visualização e pode solicitar pelo link abaixo:
http://as1477.lojas.com.br:14000/identity/faces/home
Att,
Equipe EBS</t>
  </si>
  <si>
    <t>Autoatendimento</t>
  </si>
  <si>
    <t>INC459750T</t>
  </si>
  <si>
    <t>EBS - Oracle Account Paybles (AP)</t>
  </si>
  <si>
    <t>Em Andamento</t>
  </si>
  <si>
    <t>Problema com EBS</t>
  </si>
  <si>
    <t>Olá, tudo bem?
os fornecedores não estão integrando no unifier, mesmo com o flegue no EBS
Dados
República Negocios Fiduciarios S.A. – FG Fanlay - 22 066326 0016 
FANLAY S.A. - 219517400018</t>
  </si>
  <si>
    <t>Eveline</t>
  </si>
  <si>
    <t>Santos</t>
  </si>
  <si>
    <t>Varejo Brasil</t>
  </si>
  <si>
    <t>ADMINISTRACAO</t>
  </si>
  <si>
    <t>INC459127T</t>
  </si>
  <si>
    <t>Em Espera</t>
  </si>
  <si>
    <t>Olá, tudo bem?
O fornecedor acima não esta aparecendo no módulo do EBS SIM porém ele ja consta no RMR e EBS, poderiam verifcaR</t>
  </si>
  <si>
    <t>1 - Baixo</t>
  </si>
  <si>
    <t>INC459752T</t>
  </si>
  <si>
    <t>Olá, tudo bem?
Não estou conseguindo enviar os pagamentos abaixo devido ao erro "Falha no documento de conta a pagar devido a falha no pagamento-pai", favor verificar.
FORN: CARGO NET LOGISTIC S A
NF: Retenção Imp. Fonte - 15336408 - 10_3
00004-00044665
00004-00044666
00004-00044667
00004-00044668
00004-00044669
00004-00044671
00004-00044672
00004-00044673
Retenção Imp. Fonte - 14992304 - 9_1_1
00004-00044329
00004-00044413
00004-00044414
00004-00044418
Retenção Imp. Fonte - 15336016 - 2_1_1</t>
  </si>
  <si>
    <t>Luisa</t>
  </si>
  <si>
    <t>INC459536T</t>
  </si>
  <si>
    <t>Olá, tudo bem?
Realizei o lançamento do título abaixo e está dando erro na aprovação do títulos, favor verificar.
fornecedor: YMK SA
documento: CSC1446174</t>
  </si>
  <si>
    <t>INC459486T</t>
  </si>
  <si>
    <t>No dia 01/09 tivemos impacto no fechamento, pois foram reativadas algumas combinações contabeis e ao tentar fechar o AP surgiram em torno de 48 mil linhas pendentes de transferencia pro GL, linhas na qual já estavam ok pois no dia 31 haviamos forçado o concorrente e tinha subido tudo pro GL. Precisamos entender o que aconteceu, pois ao tirar um novo eexceção quase ao mesmo tempo ele saiu zerado e as 48 mil linhas "sumiram" onde realizamos o fechamento do AP. Segue documentos emitidos praticamente no momento com informações diferentes.</t>
  </si>
  <si>
    <t>Amanda</t>
  </si>
  <si>
    <t>INC458866T</t>
  </si>
  <si>
    <t>Favor verificar o pagamento 2678670 pois o mesmo não esta contabilizando. Segue erro. 
Error Message
Esta linha não pode ser lançada até que o evento contábil ao qual ela faz referência tenha sido totalmente lançado.
Certifique-se de que os eventos contábeis da transação com os seguintes identificadores da aplicação Payables foram lançados: invoice_id: 15364237.
Esta linha não pode ser lançada até que o evento contábil ao qual ela faz referência tenha sido totalmente lançado.
Certifique-se de que os eventos contábeis da transação com os seguintes identificadores da aplicação Payables foram lançados: invoice_id: 15364239.
Esta linha não pode ser lançada até que o evento contábil ao qual ela faz referência tenha sido totalmente lançado.
Certifique-se de que os eventos contábeis da transação com os seguintes identificadores da aplicação Payables foram lançados: invoice_id: 15364242.
Esta linha não pode ser lançada até que o evento contábil ao qual ela faz referência tenha sido totalmente lançado.
Certifique-se de que os eventos contábeis da transação com os seguintes identificadores da aplicação Payables foram lançados: invoice_id: 15364245.
Esta linha não pode ser lançada até que o evento contábil ao qual ela faz referência tenha sido totalmente lançado.
Certifique-se de que os eventos contábeis da transação com os seguintes identificadores da aplicação Payables foram lançados: invoice_id: 15364246.</t>
  </si>
  <si>
    <t>Costa</t>
  </si>
  <si>
    <t xml:space="preserve">'- [ ] Qual é o incidente: pagamento 2678670 pois o mesmo não esta contabilizando. 
- [ ] Porque aconteceu:  erro na tabela xla_events campo estava com tatus I
- [ ] Tratativa do incidente:  apos analise, alterado via datafix para U , orientado executar criar contabilidade para notas e depois pagamento e contabilizou
- [ ] Cabe Causa Raiz:  nao
- [ ] Cabe Melhoria: nao 
- [ ] Cabe treinamento :  nao </t>
  </si>
  <si>
    <t>INC459732T</t>
  </si>
  <si>
    <t>Bom dia tudo bem? 
Pessoal, estamos com essa cliente no Procon/jurídico, e conforme a orientação do chamado INC4591719, entramos em contato com o time de cadastro, porem o fornecedor não aparece pra eles. 
Precisamos com urgência que realizem a desconfiguração do CPF no cadastro de colaboradora. 
Nome: Laís da Silva Ferreira
Cpf: 08409308444
Aguardamos retorno.</t>
  </si>
  <si>
    <t>Eriel</t>
  </si>
  <si>
    <t>CSC CENTRAL DE ATENDIMENTO AO CLIENTE EXTERNO</t>
  </si>
  <si>
    <t>Erro do usuário</t>
  </si>
  <si>
    <t>Chamado encerrado com a validação do usuário.
Att,
Equipe EBS</t>
  </si>
  <si>
    <t>INC459171T</t>
  </si>
  <si>
    <t>Bom dia, tudo bem?
Solicitamos por gentileza que seja realizado a desconfiguração do CPF no cadastro de colaboradora. Pois estamos em atendimento com a cliente para a realização de um depósito, porem apresenta o erro que está em anexo. 
Nome: Laís da Silva Ferreira 
Cpf: 08409308444
Aguardamos retorno.</t>
  </si>
  <si>
    <t>Usuária entrará em contato com o time de cadastros.
Att,
Equipe EBS</t>
  </si>
  <si>
    <t>INC459511T</t>
  </si>
  <si>
    <t>Bom dia, tudo bem?
Conforme print em anexo, foi efetuado em 27/08, 4 lançamentos para o fornecedor IH EFICIENCIA ENERGETICA, porém consultando hoje, os lançamentos não constam na bancada do AP.
Favor verificar.
Atenciosamente,
Jéssica Hilleshain
CSC Fiscal</t>
  </si>
  <si>
    <t>Jessica</t>
  </si>
  <si>
    <t xml:space="preserve">'- [ ] Qual é o incidente: notas nao aparecem no AP
- [ ] Porque aconteceu:  erro na digita~]ao na origem da nota, foi incluído um espaço a esquerda
- [ ] Tratativa do incidente:  orientado a pesquisar colocando um % antes do numero da nota ou um espaço
- [ ] Cabe Causa Raiz:  nao
- [ ] Cabe Melhoria: nao 
- [ ] Cabe treinamento :  nao </t>
  </si>
  <si>
    <t>INC458882T</t>
  </si>
  <si>
    <t>Olá, tudo bem?
Estamos com problemas para fechar lotes de pagamento, mesmo erro que já vem ocorrendo a tempos.
Pagina não carrega, lote não finaliza e pagina cai, vários motivos, Favor verificar.</t>
  </si>
  <si>
    <t xml:space="preserve">'- [ ] Qual é o incidente:  problemas para fechar lotes de pagamento
- [ ] Porque aconteceu:  desconhecido
- [ ] Tratativa do incidente:   fizemos e conjunto e rro ano apareceu, fizemos alguns lotes sem erro 
- [ ] Cabe Causa Raiz:  nao
- [ ] Cabe Melhoria: nao 
- [ ] Cabe treinamento :  nao </t>
  </si>
  <si>
    <t>Bom dia tudo bem? 
Pessoal, estamos com essa cliente no Procon/jurídico, e conforme a orientação do chamado INC4591711, entramos em contato com o time de cadastro, porem o fornecedor não aparece pra eles. 
Precisamos com urgência que realizem a desconfiguração do CPF no cadastro de colaboradora. 
Cliente está aguardando a resolução desde o dia 20/08/26.
Nome: Andressa De Oliveira 
Cpf: 13613349752 
Aguardamos retorno.</t>
  </si>
  <si>
    <t>Bom dia tudo bem?
Solicitamos por gentileza que seja realizado a desconfiguração do CPF no cadastro de colaboradora. Pois estamos em atendimento com a cliente para a realização de um depósito, porem apresenta o erro que está em anexo. 
Nome: Andressa De Oliveira 
Cpf: 13613349752
Aguardamos retorno.</t>
  </si>
  <si>
    <t>INC459071T</t>
  </si>
  <si>
    <t>Olá, tudo bem?
Não estou conseguindo compensar as notas do fornecedor SKYCOMPANY INFRAESTRUTURA PARA TI LTDA, favor verificar.
SKYCOMPANY INFRAESTRUTURA PARA TI LTDA
61
Retención Impuesto - 8748694 - 2_3</t>
  </si>
  <si>
    <t>Boa tarde, tudo bem!
Informamos que as verificações e os ajustes necessários foram realizados no sistema para o processo de compensação de notas do fornecedor SKYCOMPANY INFRAESTRUTURA PARA TI LTDA, especificamente em relação ao registro Retención Impuesto - 8748694 - 2_3.
Solicitamos que realize uma nova tentativa de compensação e valide se o procedimento foi concluído com sucesso. 
Como não houve retorno em tempo hábil, o chamado está sendo encerrado.
Att.
Equipe EBS</t>
  </si>
  <si>
    <t>INC455111T</t>
  </si>
  <si>
    <t>Olá, tudo bem?
Realizei a aplicação da NF 147560 - 147561 do fornecedor ELTICOR SOCIEDAD ANONIMA e a NF não está contabilizando, favor verificar.</t>
  </si>
  <si>
    <t>Varejo Uruguai</t>
  </si>
  <si>
    <t>Resolvido (com contorno)</t>
  </si>
  <si>
    <t xml:space="preserve">'- [ ] Qual é o incidente: nota nao contabiliza
- [ ] Porque aconteceu: Line Error Number Error Message
- [ ] Tratativa do incidente:  analisado o SLA e nao tem erro, esta ativo, somente esta  NF nao contabiliza a aplicação de adiantamento, ajustado via datafix e o GL ira entrar com o lançamento manual,  visto que e uma aplicação de fevereiro que teve erro onde ficou um lançamento contabilizado e o outro fica no relatorio como nao necessário, e agra em julho desaplicaram e aplicaram mas nao contabilizou mais 
- [ ] Cabe Causa Raiz:  nao
- [ ] Cabe Melhoria: nao 
- [ ] Cabe treinamento :  nao </t>
  </si>
  <si>
    <t>INC455303T</t>
  </si>
  <si>
    <t>Favor verificar nota abaixo, pois a mesma não esta contabulizando
Nome do Fornecedor Número do Fornecedor Número da NFF Data Contábil Moeda Quantia da NFF
ELTICOR SOCIEDAD ANONIMA 214543140019        147560 - 147561 29-Jul-2026 UYU 328.141,00
Favor verificar, pois o pagamento 2657048 consta como processado mas permanece aparecendo como pendencia no Exceção</t>
  </si>
  <si>
    <t xml:space="preserve">'- [ ] Qual é o incidente: nota nao contabiliza
- [ ] Porque aconteceu: Line Error Number Error Message
95340 Os totais de débitos e créditos não estão balanceados para este lançamento do sub-razão. Certifique-se de que a definição contábil da aplicação RN1_Provisão de Empenho de Usuário contenha tipos de linha do lançamento para a classe do evento Aplicações de Pagamento Antecipado e tipo de evento Pagamento Antecipado Aplicado que possam criar uma entrada balanceada. Além disso, verifique se as condições associadas ao tipo de linha do lançamento estão corretas.
- [ ] Tratativa do incidente:  analisado o SLA e nao tem erro, esta ativo, somente esta  NF nao contabiliza a aplicação de adiantamento, ajustado via datafix e o GL ira entrar com o lançamento manual,  visto que e uma aplicação de fevereiro que teve erro onde ficou um lançamento contabilizado e o outro fica no relatorio como nao necessário, e agra em julho desaplicaram e aplicaram mas nao contabilizou mais 
- [ ] Cabe Causa Raiz:  nao
- [ ] Cabe Melhoria: nao 
- [ ] Cabe treinamento :  nao </t>
  </si>
  <si>
    <t>INC455291T</t>
  </si>
  <si>
    <t>Favor verificar a nota 75590.1 fornecedor LOLLIPOPS COSMETICS DISTRIBUIDORA DE COSMETICOS pois a mesma consta como cancelada, mas não esta contabilizando o cancelamento dela, fica aparecendo como pendencia no exceção.</t>
  </si>
  <si>
    <t xml:space="preserve">'- [ ] Qual é o incidente: nota cancelada nao contabiliza
- [ ] Porque aconteceu: A combinação de códigos da conta 001.00504.2102021002.1003.000.000.000 é inválida.  Informe ao administrador do sistema ou representante de suporte que: 
CENTRO DE CUSTO INVÁLIDO PARA A FILIAL INFORMADA
- [ ] Tratativa do incidente:  ajustado via datafix para combinação correta
- [ ] Cabe Causa Raiz:  nao
- [ ] Cabe Melhoria: nao 
- [ ] Cabe treinamento :  nao </t>
  </si>
  <si>
    <t>INC455199T</t>
  </si>
  <si>
    <t>Olá, tudo bem?
Não estou conseguindo realizar pagamento das notas abaixo, ao tentar fazer um pagamento rápido da o erro em anexo.
NAPSE S.R.L.
00002-00008139
00002-00008143</t>
  </si>
  <si>
    <t xml:space="preserve">'- [ ] Qual é o incidente: erro ao efetuar pagamento das notas
- [ ] Porque aconteceu:  falta de configuração
- [ ] Tratativa do incidente: erro: APP-JL-62483: Erro de calculo de retenção na fonte: A aliquota RIIBB BA NAPSE nao foi localizada.
(data=30-jul-26, Quantia-base=2000)
analisado o código do imposto: RIIBB BA NAPSE
Unidade : UO_ARGENTINA
código do imposto: RIIBB BA NAPSE nao existe nenhuma linha ativada, precisa criar uma linha para este com data de 30.jul-2026 (dentro deste período ativa)
orientado a usuária, foi encaminhado um print do caminho para chegar na tela do imposto
Configurar &gt; Imposto &gt; retenção na Fonte &gt; Código
, precisa saber qual e a taxa deste imposto e criar, a taxa deste imposto e mensal, então precisa saber qual e a taxa, e criar com o periodo de 01.jul-2026 ate 31.jul.2026, salvar e efetuar novamente o pagamento
- [ ] Cabe Causa Raiz:  nao
- [ ] Cabe Melhoria: nao 
- [ ] Cabe treinamento :  nao </t>
  </si>
  <si>
    <t>INC451911T</t>
  </si>
  <si>
    <t>Boa tarde, sou de cadastro, estou tentando realizar o cadastro da colaboradora Daiane Rafaeli da Silva Costa - 03579890239 para reembolso, a mesma esta trabalhando mas não aparece no AP para ser cadastrada</t>
  </si>
  <si>
    <t>Mauricio</t>
  </si>
  <si>
    <t xml:space="preserve">'- [ ] Qual é o incidente:  nao aparece funcionario para cadastrar como fornecedor
- [ ] Porque aconteceu: analisado e visto que cadastro do HR esta incompleto, nao tem atribuição criada nem mesmo com data final, foi cadastrado incompleto
- [ ] Tratativa do incidente:  orientado a completar cadastro pela equipe do HR
- [ ] Cabe Causa Raiz:  nao
- [ ] Cabe Melhoria: nao 
- [ ] Cabe treinamento :  nao </t>
  </si>
  <si>
    <t>INC451873T</t>
  </si>
  <si>
    <t>Olá, tudo bem?
Estou tentando anexar documentos no AP FISCAL, porém quando clico em submeter da erro informando que devo abrir no edge. Clico e volta para a mesma página de inclusão do arquivo.
Por gentileza verificar, pois nas configurações do navegador constam como padrão o edge.
Em anexo segue as evidências.
Obrigada!
Atte.;
Larissa Brandolt
CSC Fiscal</t>
  </si>
  <si>
    <t>Larissa</t>
  </si>
  <si>
    <t xml:space="preserve">'- [ ] Qual é o incidente: erro ao inserir anexo
- [ ] Porque aconteceu:  atualização de navegador
- [ ] Tratativa do incidente: fiz chamada com ela, fizemos o mesmo processo pelo mozilla e funciona nao temos erro no ebs  a maquina dela deve ter tido atualização e nao funciona mais no explorer  , orientado entrar em contato com equipe de infra
- [ ] Cabe Causa Raiz:  nao
- [ ] Cabe Melhoria: nao 
- [ ] Cabe treinamento :  nao 
</t>
  </si>
  <si>
    <t>INC450754T</t>
  </si>
  <si>
    <t>LINX Sistemas e Consultoria Ltda - 54.517.628/0001-98 flegar as retenções de pis confins csll, mesmo flegado o fornecedor não aparece no sistema para lançamento de notas NF 68529 - LOJAS  - PO 2874392/LOJAS  - NF 68527 - PO 2874317</t>
  </si>
  <si>
    <t xml:space="preserve">Informamos que foram concluídos os ajustes e verificações nas parametrizações de retenção de impostos (PIS, COFINS e CSLL) do fornecedor LINX Sistemas e Consultoria Ltda (CNPJ 54.517.628/0001-98). O cadastro foi devidamente regularizado, e o fornecedor já se encontra disponível no sistema para o lançamento de notas fiscais.
Como a tratativa foi finalizada e não há pendências ativas, estamos procedendo com o encerramento deste chamado. Permanecemos à disposição caso necessite de suporte no futuro.
</t>
  </si>
  <si>
    <t>INC453687T</t>
  </si>
  <si>
    <t>Boa tarde, tudo bem? 
Solicito por gentileza a remoção do vínculo do CPF 02068748045, com o cadastro antigo do ex-colaborador. 
Estamos tentando realizar um depósito na conta da mesma, e apresenta o erro que está em anexo. 
Dados bancários abaixo que iremos deixar como prioridade 1:  Pois precisamos realizar o depósito na conta da cliente. 
Nome do titular: Diane da Silveira Moura 
CPF: 020.687.480-45 
Nome do banco: 260- Nu Pagamentos S.A. 
Agência (sem dígito): 0001 
Conta Corrente (com dígito): 25955116-1</t>
  </si>
  <si>
    <t xml:space="preserve">select * from apps.ap_suppliers
where 1=1
AND PARTY_ID = 57383;
AND VENDOR_ID = 408417;
and vendor_name like 'DIANE%'; -- Diane da Silveira Moura
SELECT * FROM ALL_TABLES
WHERE 1=1
AND TABLE_NAME LIKE 'HZ_PART%';
SELECT * FROM APPS.HZ_PARTIES
WHERE 1=1
AND PARTY_ID = 57383;
SELECT * FROM APPS.HZ_PARTY_SITES
WHERE 1=1
AND PARTY_ID = 57383;
select * from apps.ap_supplier_SITES_ALL
where 1=1
-- AND PARTY_SITE_ID IN ( 1374259, 1375806)
AND VENDOR_ID = 408417;
-- 1 LINHA
UPDATE apps.ap_supplier_SITES_ALL
SET INACTIVE_DATE = NULL
where 1=1
AND VENDOR_ID = 408417;
-- COMMIT;
select * from apps.ap_INVOICES_ALL
where 1=1
AND VENDOR_ID = 408417
AND PAYMENT_STATUS_FLAG &lt;&gt; 'Y';
SELECT --hop_bank.*,
aps.vendor_id,
aps.vendor_name,
ieba.bank_account_name,
ieba.bank_account_num,
hzp.party_id,
hop_bank.ORGANIZATION_NAME banco,
hop_branch.ORGANIZATION_NAME nome_agencia
FROM apps.hz_parties hzp,
apps.ap_suppliers aps,
apps.iby_external_payees_all hepa,
apps.iby_pmt_instr_uses_all ipiua,
apps.iby_ext_bank_accounts ieba,
apps.hz_parties hzp_bank,
apps.hz_organization_profiles hop_bank,
apps.hz_parties hzp_branch,
apps.hz_organization_profiles hop_branch
WHERE hzp.party_id = aps.party_id
AND hzp.party_id = hepa.payee_party_id
AND hepa.ext_payee_id = ipiua.ext_pmt_party_id(+)
AND ipiua.instrument_id = ieba.ext_bank_account_id(+)
AND ieba.bank_id = hzp_bank.party_id(+)
AND hop_bank.party_id(+) = hzp_bank.party_id
AND ieba.branch_id = hzp_branch.party_id(+)
AND hzp_branch.party_id = hop_branch.party_id(+)
-- and hop_bank.effective_end_date is null
and aps.vendor_id in (408417 )
and ieba.bank_account_num is not null
AND hepa.supplier_site_id IS NULL
order by aps.vendor_name;
SELECT
aps.vendor_id,
aps.vendor_name,
ieba.bank_account_name,
ieba.bank_account_num,
-- iebb.bank_branch_name,
hzp.party_id,
hop_bank.ORGANIZATION_NAME,
hop_branch.ORGANIZATION_NAME,
ieba.*
FROM apps.hz_parties hzp,
apps.ap_suppliers aps,
apps.iby_external_payees_all hepa,
apps.iby_pmt_instr_uses_all ipiua,
apps.iby_ext_bank_accounts ieba,
apps.hz_parties hzp_bank,
apps.hz_organization_profiles hop_bank,
apps.hz_parties hzp_branch,
apps.hz_organization_profiles hop_branch
-- apps.iby_ext_bank_branches_v iebb
WHERE hzp.party_id = aps.party_id
AND hzp.party_id = hepa.payee_party_id
AND hepa.ext_payee_id = ipiua.ext_pmt_party_id(+)
AND ipiua.instrument_id = ieba.ext_bank_account_id(+)
AND ieba.bank_id = hzp_bank.party_id(+)
AND hop_bank.party_id(+) = hzp_bank.party_id
AND ieba.branch_id = hzp_branch.party_id(+)
AND hzp_branch.party_id = hop_branch.party_id(+)
-- and ieba.ext_bank_account_id = iebb.bank_party_id
and aps.vendor_id = 1927123
-- and ieba.bank_account_num like '%102895%'; -- 102895
AND hepa.supplier_site_id IS NULL;
- [ ] Qual é o incidente: nao aparece cadastro de fornecedor no AP, nem mesmo pesquisando pelo numero, nome ou cpf
- [ ] Porque aconteceu:  analisado e cadastro de pessoa nao tem atribuição, desta forma nao aparece no cadastro de fornecedor
- [ ] Tratativa do incidente:  ajustado via update   apps.PER_ALL_ASSIGNMENTS_F e depois ficou visivel no AP para ajuste
- [ ] Cabe Causa Raiz:  nao
- [ ] Cabe Melhoria: nao 
- [ ] Cabe treinamento :  nao </t>
  </si>
  <si>
    <t>INC453789T</t>
  </si>
  <si>
    <t>Boa tarde, sou de cadastro, estou tentando realizar o cadastro da colaboradora Daiane Rafaeli da Silva Costa - 03579890239 para reembolso, a mesma esta trabalhando mas não aparece no AP para ser cadastrada segue prints a pedido na solicitação INC4519115</t>
  </si>
  <si>
    <t>[ ] Qual é o incidente: nao aparece cadastro de fornecedor no AP, nem mesmo pesquisando pelo numero, nome ou cpf
- [ ] Porque aconteceu:  analisado e cadastro de pessoa nao tem atribuição, desta forma nao aparece no cadastro de fornecedor
- [ ] Tratativa do incidente:  ajustado via update   apps.PER_ALL_ASSIGNMENTS_F e depois ficou visivel no AP para ajuste
- [ ] Cabe Causa Raiz:  nao
- [ ] Cabe Melhoria: nao 
- [ ] Cabe treinamento :  nao</t>
  </si>
  <si>
    <t>INC454477T</t>
  </si>
  <si>
    <t>Olá, tudo bem?
Colaborador(a) entrou em contato relatando dificuldades no EBS.
🔍 Erro identificado:
Solicitante relata que é necessário corrigir um erro de lançamentos de abatimento no módulo GL Uruguai, onde as notas foram lançadas no módulo AP, porém no esta refletindo no modulo GL.
NF : 147560 - 147561
NF: 147022 - 147023
⚠️ Informações obrigatórias:
Número da sua funcional: 001187792
Número da sua loja: 001
Telefone para contato (que receba Whatsapp): 55996690925
Segunda opção de contato, caso não esteja disponível: leonardo.so@lojas.com.br
📎Anexado imagem do erro relatado.
Agradecemos o suporte!
Atenciosamente...
Service Desk 💻</t>
  </si>
  <si>
    <t>Leonardo</t>
  </si>
  <si>
    <t>Olá @Leonardo dos Santos Soares,
Conforme orientado via Teams, ocorreu um problema na contabilização no passado que houve somente a integração dos lançamentos de empenho.
Favor solicitar uma desaplicação e aplicação novamente do processo de adiantamento OU
Incluir manualmente um lançamento no GL para zerar as contas.
Favor proceder com a solução de contorno e se atende a data GL, pois ficarão em meses divergentes.
Como não houve retorno em tempo hábil, o chamado está sendo encerrado.
Att.
Equipe EBS</t>
  </si>
  <si>
    <t>Telefone</t>
  </si>
  <si>
    <t>INC449290T</t>
  </si>
  <si>
    <t>boa tarde, tudo bem?
titulo não integrou pro sistema AP, também não esta na interface. 
_1829201 Luiza Raupp Pacheco</t>
  </si>
  <si>
    <t>Bruna</t>
  </si>
  <si>
    <t xml:space="preserve"> [ ] Qual é o incidente: reembolso rejeitado 
- [ ] Porque aconteceu:  motivo de rejeição
- [ ] Tratativa do incidente:  falta de informações bancarias no cadastro do funcionário
- [ ] Cabe Causa Raiz:  nao
- [ ] Cabe Melhoria: nao </t>
  </si>
  <si>
    <t>INC451498T</t>
  </si>
  <si>
    <t>Olá, tudo bem? 
Nota 12865 do fornecedor ELEVADORES ATLAS SCHINDLER LTDA possui saldo disponiveis nos projetos, porém no EBS permanece como se nao tivesse saldo suficiente. favor verificar</t>
  </si>
  <si>
    <t xml:space="preserve">'- [ ] Qual é o incidente: nota com status de exige revalidação
- [ ] Porque aconteceu:  falta de saldo no projeto
- [ ] Tratativa do incidente:  projeto e de 2022 e nao tem como ajustar o saldo, sera criado novo projeto, nova OC e nova nota esta sera cancelada
- [ ] Cabe Causa Raiz:  nao
- [ ] Cabe Melhoria: nao 
- [ ] Cabe treinamento :  nao 
</t>
  </si>
  <si>
    <t>INC455300T</t>
  </si>
  <si>
    <t>Temos diversas notas na Argentina q nao estao contabilizando no AP. Favor verificar
Nome do Fornecedor Número do Fornecedor Número da NFF Data Contábil Moeda Quantia da NFF
AGENCIA DE RECAUDACION Y CONTROL ADUANERO ARCA 1 Retenção Imp. Fonte - 15171550 - 4 30/jul/26 ARS 99.487,77
AGENCIA DE RECAUDACION Y CONTROL ADUANERO ARCA 1 Retenção Imp. Fonte - 15171990 - 4 28/jul/26 ARS 11.480,00
AGENCIA DE RECAUDACION Y CONTROL ADUANERO ARCA 1 Retenção Imp. Fonte - 15171991 - 4 30/jul/26 ARS 11.665,03
AGENCIA DE RECAUDACION Y CONTROL ADUANERO ARCA 1 Retenção Imp. Fonte - 15171992 - 5 30/jul/26 ARS 11.665,03
AGENCIA DE RECAUDACION Y CONTROL ADUANERO ARCA 1 Retenção Imp. Fonte - 15171993 - 5 30/jul/26 ARS 7.553,44
AGENCIA DE RECAUDACION Y CONTROL ADUANERO ARCA 1 Retenção Imp. Fonte - 15194367 - 34 28/jul/26 ARS 75.003,61
AGENCIA DE RECAUDACION Y CONTROL ADUANERO ARCA 1 Retenção Imp. Fonte - 15194367 - 35 28/jul/26 ARS 38.848,81
AGENCIA DE RECAUDACION Y CONTROL ADUANERO ARCA 1 Retenção Imp. Fonte - 15198358 - 3 30/jul/26 ARS 5.742,37
AGENCIA DE RECAUDACION Y CONTROL ADUANERO ARCA 1 Retenção Imp. Fonte - 15198362 - 3 30/jul/26 ARS 6.089,83
AGENCIA DE RECAUDACION Y CONTROL ADUANERO ARCA 1 Retenção Imp. Fonte - 15204761 - 2 28/jul/26 ARS 530,98
AGENCIA DE RECAUDACION Y CONTROL ADUANERO ARCA 1 Retenção Imp. Fonte - 15205455 - 3 30/jul/26 ARS 31.012,55
AGENCIA DE RECAUDACION Y CONTROL ADUANERO ARCA 1 Retenção Imp. Fonte - 15205456 - 2 28/jul/26 ARS 47.046,00
AGENCIA DE RECAUDACION Y CONTROL ADUANERO ARCA 1 Retenção Imp. Fonte - 15236605 - 3 30/jul/26 ARS 27.195,40
AGENCIA DE RECAUDACION Y CONTROL ADUANERO ARCA 1 Retenção Imp. Fonte - 15236667 - 4 30/jul/26 ARS 35.856,60
AGENCIA DE RECAUDACION Y CONTROL ADUANERO ARCA 1 Retenção Imp. Fonte - 15236700 - 3 30/jul/26 ARS 18.211,20
AGENCIA DE RECAUDACION Y CONTROL ADUANERO ARCA 1 Retenção Imp. Fonte - 15237033 - 9 28/jul/26 ARS 265.069,49
AGENCIA DE RECAUDACION Y CONTROL ADUANERO ARCA 1 Retenção Imp. Fonte - 15237034 - 10 28/jul/26 ARS 265.069,49
AGENCIA DE RECAUDACION Y CONTROL ADUANERO ARCA 1 Retenção Imp. Fonte - 15237035 - 10 28/jul/26 ARS 265.069,49
AGENCIA DE RECAUDACION Y CONTROL ADUANERO ARCA 1 Retenção Imp. Fonte - 15237036 - 10 28/jul/26 ARS 265.069,49
AGENCIA DE RECAUDACION Y CONTROL ADUANERO ARCA 1 Retenção Imp. Fonte - 15237037 - 10 28/jul/26 ARS 265.069,49
AGENCIA DE RECAUDACION Y CONTROL ADUANERO ARCA 1 Retenção Imp. Fonte - 15237038 - 9 28/jul/26 ARS 265.069,49
AGENCIA DE RECAUDACION Y CONTROL ADUANERO ARCA 1 Retenção Imp. Fonte - 15237039 - 10 28/jul/26 ARS 265.069,49
AGENCIA DE RECAUDACION Y CONTROL ADUANERO ARCA 1 Retenção Imp. Fonte - 15237040 - 10 28/jul/26 ARS 265.069,49
AGENCIA DE RECAUDACION Y CONTROL ADUANERO ARCA 1 Retenção Imp. Fonte - 15237041 - 9 28/jul/26 ARS 265.069,49
AGENCIA DE RECAUDACION Y CONTROL ADUANERO ARCA 1 Retenção Imp. Fonte - 15237050 - 9 28/jul/26 ARS 257.801,15
AGENCIA DE RECAUDACION Y CONTROL ADUANERO ARCA 1 Retenção Imp. Fonte - 15237051 - 10 28/jul/26 ARS 257.801,15
AGENCIA DE RECAUDACION Y CONTROL ADUANERO ARCA 1 Retenção Imp. Fonte - 15237052 - 9 28/jul/26 ARS 257.801,15
AGENCIA DE RECAUDACION Y CONTROL ADUANERO ARCA 1 Retenção Imp. Fonte - 15237053 - 10 28/jul/26 ARS 257.801,15
AGENCIA DE RECAUDACION Y CONTROL ADUANERO ARCA 1 Retenção Imp. Fonte - 15237054 - 10 28/jul/26 ARS 257.801,15
AGENCIA DE RECAUDACION Y CONTROL ADUANERO ARCA 1 Retenção Imp. Fonte - 15237055 - 10 28/jul/26 ARS 257.801,15
AGENCIA DE RECAUDACION Y CONTROL ADUANERO ARCA 1 Retenção Imp. Fonte - 15237056 - 9 28/jul/26 ARS 257.801,15
AGENCIA DE RECAUDACION Y CONTROL ADUANERO ARCA 1 Retenção Imp. Fonte - 15237057 - 9 28/jul/26 ARS 257.801,15
AGENCIA DE RECAUDACION Y CONTROL ADUANERO ARCA 1 Retenção Imp. Fonte - 15237058 - 10 28/jul/26 ARS 257.801,15
AGENCIA DE RECAUDACION Y CONTROL ADUANERO ARCA 1 Retenção Imp. Fonte - 15237059 - 10 28/jul/26 ARS 257.801,15
AGENCIA DE RECAUDACION Y CONTROL ADUANERO ARCA 1 Retenção Imp. Fonte - 15237060 - 9 28/jul/26 ARS 257.801,15
AGENCIA DE RECAUDACION Y CONTROL ADUANERO ARCA 1 Retenção Imp. Fonte - 15237061 - 9 28/jul/26 ARS 257.801,15
AGENCIA DE RECAUDACION Y CONTROL ADUANERO ARCA 1 Retenção Imp. Fonte - 15237062 - 10 28/jul/26 ARS 257.801,15
AGENCIA DE RECAUDACION Y CONTROL ADUANERO ARCA 1 Retenção Imp. Fonte - 15237391 - 4 30/jul/26 ARS 30.386,31
AGENCIA DE RECAUDACION Y CONTROL ADUANERO ARCA 1 Retenção Imp. Fonte - 15237415 - 4 30/jul/26 ARS 7.944,13
AGENCIA DE RECAUDACION Y CONTROL ADUANERO ARCA 1 Retenção Imp. Fonte - 15237416 - 3 30/jul/26 ARS 69.511,18
AGENCIA DE RECAUDACION Y CONTROL ADUANERO ARCA 1 Retenção Imp. Fonte - 15237419 - 3 30/jul/26 ARS 83.190,98
AGENCIA DE RECAUDACION Y CONTROL ADUANERO ARCA 1 Retenção Imp. Fonte - 15238153 - 10 28/jul/26 ARS 265.069,49
AGENCIA DE RECAUDACION Y CONTROL ADUANERO ARCA 1 Retenção Imp. Fonte - 15238198 - 9 28/jul/26 ARS 257.801,15
AGENCIA DE RECAUDACION Y CONTROL ADUANERO ARCA 1 Retenção Imp. Fonte - 15238240 - 10 28/jul/26 ARS 257.801,15
AGENCIA DE RECAUDACION Y CONTROL ADUANERO ARCA 1 Retenção Imp. Fonte - 15239936 - 10 28/jul/26 ARS 3.385.524,11
AGENCIA DE RECAUDACION Y CONTROL ADUANERO ARCA 1 Retenção Imp. Fonte - 15239936 - 11 28/jul/26 ARS 643.518,33
AGENCIA DE RECAUDACION Y CONTROL ADUANERO ARCA 1 Retenção Imp. Fonte - 15239936 - 12 28/jul/26 ARS 1.934.585,22
AGENCIA DE RECAUDACION Y CONTROL ADUANERO ARCA 1 Retenção Imp. Fonte - 15239937 - 9 30/jul/26 ARS 918.005,45
AGENCIA DE RECAUDACION Y CONTROL ADUANERO ARCA 1 Retenção Imp. Fonte - 15239951 - 10 30/jul/26 ARS 15.433,72
AGENCIA DE RECAUDACION Y CONTROL ADUANERO ARCA 1 Retenção Imp. Fonte - 15239952 - 9 30/jul/26 ARS 11.048,48
AGENCIA DE RECAUDACION Y CONTROL ADUANERO ARCA 1 Retenção Imp. Fonte - 15239977 - 14 30/jul/26 ARS 222.564,60
AGENCIA DE RECAUDACION Y CONTROL ADUANERO ARCA 1 Retenção Imp. Fonte - 15240296 - 4 30/jul/26 ARS 1.325.389,71
AGENCIA DE RECAUDACION Y CONTROL ADUANERO ARCA 1 Retenção Imp. Fonte - 15240899 - 4 30/jul/26 ARS 290.800,96
AGENCIA DE RECAUDACION Y CONTROL ADUANERO ARCA 1 Retenção Imp. Fonte - 15250020 - 3 28/jul/26 ARS 4.400.457,24
AGENCIA DE RECAUDACION Y CONTROL ADUANERO ARCA 1 Retenção Imp. Fonte - 15277591 - 8 30/jul/26 ARS 256.803,20
AGIP ADMINISTRACION GUBERNAMENTAL DE INGRESOS PUBLICOS 30713700505 Retenção Imp. Fonte - 15150933 - 2 28/jul/26 ARS 164,6
AGIP ADMINISTRACION GUBERNAMENTAL DE INGRESOS PUBLICOS 30713700505 Retenção Imp. Fonte - 15150933 - 3 28/jul/26 ARS 164,6
AGIP ADMINISTRACION GUBERNAMENTAL DE INGRESOS PUBLICOS 30713700505 Retenção Imp. Fonte - 15150933-2-Cancelado 28/jul/26 ARS -164,6
AGIP ADMINISTRACION GUBERNAMENTAL DE INGRESOS PUBLICOS 30713700505 Retenção Imp. Fonte - 15194367 - 36 28/jul/26 ARS 86.227,20
AGIP ADMINISTRACION GUBERNAMENTAL DE INGRESOS PUBLICOS 30713700505 Retenção Imp. Fonte - 15204761 - 3 28/jul/26 ARS 1.090,82
AGIP ADMINISTRACION GUBERNAMENTAL DE INGRESOS PUBLICOS 30713700505 Retenção Imp. Fonte - 15205455 - 2 30/jul/26 ARS 88.335,00
AGIP ADMINISTRACION GUBERNAMENTAL DE INGRESOS PUBLICOS 30713700505 Retenção Imp. Fonte - 15205456 - 3 28/jul/26 ARS 96.649,44
AGIP ADMINISTRACION GUBERNAMENTAL DE INGRESOS PUBLICOS 30713700505 Retenção Imp. Fonte - 15236605 - 4 30/jul/26 ARS 21.000,00
AGIP ADMINISTRACION GUBERNAMENTAL DE INGRESOS PUBLICOS 30713700505 Retenção Imp. Fonte - 15236667 - 5 30/jul/26 ARS 27.900,00
AGIP ADMINISTRACION GUBERNAMENTAL DE INGRESOS PUBLICOS 30713700505 Retenção Imp. Fonte - 15236700 - 4 30/jul/26 ARS 14.062,50
AGIP ADMINISTRACION GUBERNAMENTAL DE INGRESOS PUBLICOS 30713700505 Retenção Imp. Fonte - 15237033 - 10 28/jul/26 ARS 9.615,27
AGIP ADMINISTRACION GUBERNAMENTAL DE INGRESOS PUBLICOS 30713700505 Retenção Imp. Fonte - 15237034 - 9 28/jul/26 ARS 9.615,27
AGIP ADMINISTRACION GUBERNAMENTAL DE INGRESOS PUBLICOS 30713700505 Retenção Imp. Fonte - 15237035 - 9 28/jul/26 ARS 9.615,27
AGIP ADMINISTRACION GUBERNAMENTAL DE INGRESOS PUBLICOS 30713700505 Retenção Imp. Fonte - 15237036 - 9 28/jul/26 ARS 9.615,27
AGIP ADMINISTRACION GUBERNAMENTAL DE INGRESOS PUBLICOS 30713700505 Retenção Imp. Fonte - 15237037 - 9 28/jul/26 ARS 9.615,27
AGIP ADMINISTRACION GUBERNAMENTAL DE INGRESOS PUBLICOS 30713700505 Retenção Imp. Fonte - 15237038 - 10 28/jul/26 ARS 9.615,27
AGIP ADMINISTRACION GUBERNAMENTAL DE INGRESOS PUBLICOS 30713700505 Retenção Imp. Fonte - 15237039 - 9 28/jul/26 ARS 9.615,27
AGIP ADMINISTRACION GUBERNAMENTAL DE INGRESOS PUBLICOS 30713700505 Retenção Imp. Fonte - 15237040 - 9 28/jul/26 ARS 9.615,27
AGIP ADMINISTRACION GUBERNAMENTAL DE INGRESOS PUBLICOS 30713700505 Retenção Imp. Fonte - 15237041 - 10 28/jul/26 ARS 9.615,27
AGIP ADMINISTRACION GUBERNAMENTAL DE INGRESOS PUBLICOS 30713700505 Retenção Imp. Fonte - 15237050 - 10 28/jul/26 ARS 9.351,63
AGIP ADMINISTRACION GUBERNAMENTAL DE INGRESOS PUBLICOS 30713700505 Retenção Imp. Fonte - 15237051 - 9 28/jul/26 ARS 9.351,63
AGIP ADMINISTRACION GUBERNAMENTAL DE INGRESOS PUBLICOS 30713700505 Retenção Imp. Fonte - 15237052 - 10 28/jul/26 ARS 9.351,63
AGIP ADMINISTRACION GUBERNAMENTAL DE INGRESOS PUBLICOS 30713700505 Retenção Imp. Fonte - 15237053 - 9 28/jul/26 ARS 9.351,63
AGIP ADMINISTRACION GUBERNAMENTAL DE INGRESOS PUBLICOS 30713700505 Retenção Imp. Fonte - 15237054 - 9 28/jul/26 ARS 9.351,63
AGIP ADMINISTRACION GUBERNAMENTAL DE INGRESOS PUBLICOS 30713700505 Retenção Imp. Fonte - 15237055 - 9 28/jul/26 ARS 9.351,63
AGIP ADMINISTRACION GUBERNAMENTAL DE INGRESOS PUBLICOS 30713700505 Retenção Imp. Fonte - 15237056 - 10 28/jul/26 ARS 9.351,63
AGIP ADMINISTRACION GUBERNAMENTAL DE INGRESOS PUBLICOS 30713700505 Retenção Imp. Fonte - 15237057 - 10 28/jul/26 ARS 9.351,63
AGIP ADMINISTRACION GUBERNAMENTAL DE INGRESOS PUBLICOS 30713700505 Retenção Imp. Fonte - 15237058 - 9 28/jul/26 ARS 9.351,63
AGIP ADMINISTRACION GUBERNAMENTAL DE INGRESOS PUBLICOS 30713700505 Retenção Imp. Fonte - 15237059 - 9 28/jul/26 ARS 9.351,63
AGIP ADMINISTRACION GUBERNAMENTAL DE INGRESOS PUBLICOS 30713700505 Retenção Imp. Fonte - 15237060 - 10 28/jul/26 ARS 9.351,63
AGIP ADMINISTRACION GUBERNAMENTAL DE INGRESOS PUBLICOS 30713700505 Retenção Imp. Fonte - 15237061 - 10 28/jul/26 ARS 9.351,63
AGIP ADMINISTRACION GUBERNAMENTAL DE INGRESOS PUBLICOS 30713700505 Retenção Imp. Fonte - 15237062 - 9 28/jul/26 ARS 9.351,63
AGIP ADMINISTRACION GUBERNAMENTAL DE INGRESOS PUBLICOS 30713700505 Retenção Imp. Fonte - 15237391 - 3 30/jul/26 ARS 45.900,00
AGIP ADMINISTRACION GUBERNAMENTAL DE INGRESOS PUBLICOS 30713700505 Retenção Imp. Fonte - 15237415 - 3 30/jul/26 ARS 12.000,00
AGIP ADMINISTRACION GUBERNAMENTAL DE INGRESOS PUBLICOS 30713700505 Retenção Imp. Fonte - 15237416 - 4 30/jul/26 ARS 105.000,00
AGIP ADMINISTRACION GUBERNAMENTAL DE INGRESOS PUBLICOS 30713700505 Retenção Imp. Fonte - 15237419 - 4 30/jul/26 ARS 125.664,00
AGIP ADMINISTRACION GUBERNAMENTAL DE INGRESOS PUBLICOS 30713700505 Retenção Imp. Fonte - 15238153 - 9 28/jul/26 ARS 9.615,27
AGIP ADMINISTRACION GUBERNAMENTAL DE INGRESOS PUBLICOS 30713700505 Retenção Imp. Fonte - 15238198 - 10 28/jul/26 ARS 9.351,63
AGIP ADMINISTRACION GUBERNAMENTAL DE INGRESOS PUBLICOS 30713700505 Retenção Imp. Fonte - 15238240 - 9 28/jul/26 ARS 9.351,63
AGIP ADMINISTRACION GUBERNAMENTAL DE INGRESOS PUBLICOS 30713700505 Retenção Imp. Fonte - 15239936 - 9 28/jul/26 ARS 464.491,75
AGIP ADMINISTRACION GUBERNAMENTAL DE INGRESOS PUBLICOS 30713700505 Retenção Imp. Fonte - 15239937 - 10 30/jul/26 ARS 126.398,84
AGIP ADMINISTRACION GUBERNAMENTAL DE INGRESOS PUBLICOS 30713700505 Retenção Imp. Fonte - 15239951 - 9 30/jul/26 ARS 7.539,84
AGIP ADMINISTRACION GUBERNAMENTAL DE INGRESOS PUBLICOS 30713700505 Retenção Imp. Fonte - 15239952 - 10 30/jul/26 ARS 5.804,48
AGIP ADMINISTRACION GUBERNAMENTAL DE INGRESOS PUBLICOS 30713700505 Retenção Imp. Fonte - 15239977 - 13 30/jul/26 ARS 60.938,34
AGIP ADMINISTRACION GUBERNAMENTAL DE INGRESOS PUBLICOS 30713700505 Retenção Imp. Fonte - 15240296 - 3 30/jul/26 ARS 9.089,60
AGIP ADMINISTRACION GUBERNAMENTAL DE INGRESOS PUBLICOS 30713700505 Retenção Imp. Fonte - 15240899 - 3 30/jul/26 ARS 1.994,33
AGIP ADMINISTRACION GUBERNAMENTAL DE INGRESOS PUBLICOS 30713700505 Retenção Imp. Fonte - 15250020 - 4 28/jul/26 ARS 539.279,28
AGIP ADMINISTRACION GUBERNAMENTAL DE INGRESOS PUBLICOS 30713700505 Retenção Imp. Fonte - 15277591 - 9 30/jul/26 ARS 580.829,85
ANDREANI LOGISTICA S A 30698011145 06037-00001142 28/jul/26 ARS 5.785.920,00
ARBA - AGENCIA DE RECAUDACION DE LA PROVINCIA DE BUENOS AIRES 30710404611 Retenção Imp. Fonte - 15171550 - 5 30/jul/26 ARS 100.691,35
ARBA - AGENCIA DE RECAUDACION DE LA PROVINCIA DE BUENOS AIRES 30710404611 Retenção Imp. Fonte - 15171991 - 5 30/jul/26 ARS 11.806,15
ARBA - AGENCIA DE RECAUDACION DE LA PROVINCIA DE BUENOS AIRES 30710404611 Retenção Imp. Fonte - 15171992 - 4 30/jul/26 ARS 11.806,15
ARBA - AGENCIA DE RECAUDACION DE LA PROVINCIA DE BUENOS AIRES 30710404611 Retenção Imp. Fonte - 15171993 - 4 30/jul/26 ARS 7.644,82
CARGO NET LOGISTIC S A 33707933289 00004-00043844 31/jul/26 ARS 1.227.072,19
INTERLINK TRANSP INTERNACIONAIS LTDA 30709549703 00002-00007548 31/jul/26 ARS 5.830.500,00
LOJAS RENNER SA 92754738 1,30011E+11 30/jul/26 BRL 18.876,90
LOJAS RENNER SA 92754738 1,30011E+11 30/jul/26 BRL 43.577,38
LOJAS RENNER SA 92754738 1,30011E+11 30/jul/26 BRL 53.333,15
LOJAS RENNER SA 92754738 1,30011E+11 30/jul/26 BRL 44.845,46
LOJAS RENNER SA 92754738 1,30011E+11 30/jul/26 BRL 28.018,05
LOJAS RENNER SA 92754738 1,30011E+11 30/jul/26 BRL 6.411,80
LOJAS RENNER SA 92754738 130010886164#1 30/jul/26 BRL -6.411,80
LOJAS RENNER SA 92754738 130010886164#2 30/jul/26 BRL 6.411,80
LOJAS RENNER SA 92754738 1,30021E+11 30/jul/26 BRL 48.324,16
LOJAS RENNER SA 92754738 1,30021E+11 30/jul/26 BRL 49.506,39
LOJAS RENNER SA 92754738 1,30021E+11 30/jul/26 BRL 45.271,14
LOJAS RENNER SA 92754738 1,30021E+11 30/jul/26 BRL 14.169,34
LOJAS RENNER SA 92754738 1,30021E+11 30/jul/26 BRL 12.014,12
LOJAS RENNER SA 92754738 130020886165#1 30/jul/26 BRL -12.014,12
LOJAS RENNER SA 92754738 130020886165#2 30/jul/26 BRL 12.014,12
LOJAS RENNER SA 92754738 1,30031E+11 30/jul/26 BRL 43.193,18
LOJAS RENNER SA 92754738 130030883586#1 30/jul/26 BRL -43.193,18
LOJAS RENNER SA 92754738 130030883586#2 30/jul/26 BRL 43.193,18
LOJAS RENNER SA 92754738 130030883586#3 30/jul/26 BRL -43.193,18
LOJAS RENNER SA 92754738 130030883586#4 30/jul/26 BRL 43.193,18
LOJAS RENNER SA 92754738 130030883586#5 30/jul/26 BRL -43.193,18
LOJAS RENNER SA 92754738 130030883586#6 30/jul/26 BRL 43.193,18
LOJAS RENNER SA 92754738 1,30031E+11 30/jul/26 BRL 60.906,51
LOJAS RENNER SA 92754738 130030883655#1 30/jul/26 BRL -60.906,51
LOJAS RENNER SA 92754738 130030883655#2 30/jul/26 BRL 60.906,51
LOJAS RENNER SA 92754738 1,30031E+11 30/jul/26 BRL 49.647,23
LOJAS RENNER SA 92754738 1,30031E+11 30/jul/26 BRL 46.379,46
LOJAS RENNER SA 92754738 1,30031E+11 30/jul/26 BRL 43.584,91
LOJAS RENNER SA 92754738 1,30031E+11 30/jul/26 BRL 10.146,72
LOJAS RENNER SA 92754738 130030886167#1 30/jul/26 BRL -10.146,72
LOJAS RENNER SA 92754738 130030886167#2 30/jul/26 BRL 10.146,72
LOJAS RENNER SA 92754738 1,30041E+11 30/jul/26 BRL 46.939,43
LOJAS RENNER SA 92754738 1,30041E+11 30/jul/26 BRL 45.789,66
LOJAS RENNER SA 92754738 1,30041E+11 30/jul/26 BRL 29.705,13
LOJAS RENNER SA 92754738 130040886150#1 30/jul/26 BRL -29.705,13
LOJAS RENNER SA 92754738 130040886150#2 30/jul/26 BRL 29.705,13
LOJAS RENNER SA 92754738 130040886150#3 30/jul/26 BRL -29.705,13
LOJAS RENNER SA 92754738 130040886150#4 30/jul/26 BRL 29.705,13
LOJAS RENNER SA 92754738 130040886150#5 30/jul/26 BRL -29.705,13
LOJAS RENNER SA 92754738 130040886150#6 30/jul/26 BRL 29.705,13
LOJAS RENNER SA 92754738 1,30041E+11 30/jul/26 BRL 8.078,98
LOJAS RENNER SA 92754738 130040886168#1 30/jul/26 BRL -8.078,98
LOJAS RENNER SA 92754738 130040886168#2 30/jul/26 BRL 8.078,98
ROMI S R L 30577284543 00006-00132342 31/jul/26 ARS 384.220,98
ROMI S R L 30577284543 00006-00132345 31/jul/26 ARS 241.494,83
ROMI S R L 30577284543 00006-00132383 31/jul/26 ARS 241.494,83
ROMI S R L 30577284543 00006-00132384 31/jul/26 ARS 416.239,40
ROMI S R L 30577284543 00006-00132512 31/jul/26 ARS 2.507.199,26</t>
  </si>
  <si>
    <t xml:space="preserve">'- [ ] Qual é o incidente: analise de inúmeras notas que nao contabilizam na AR
- [ ] Porque aconteceu:  diversos erros, nota nao contabiliza por isso nao contabiliza pagamento, pagamento contabilizado e lote no GL mas nao mudou status, notas com apena distribuição nao arcada como contabilizadas, erro de sla
- [ ] Tratativa do incidente:  em alguns casos doi orientado correção via tela, em outros datafix
- [ ] Cabe Causa Raiz:  nao
- [ ] Cabe Melhoria: nao 
- [ ] Cabe treinamento :  nao </t>
  </si>
  <si>
    <t>INC453152T</t>
  </si>
  <si>
    <t>Olá, tudo bem?
Colaborador(a) entrou em contato relatando dificuldades [ebs].
🔍 Erro identificado:
Solicitante informa que abriu a RD para reembolso e até o momento não foi solucionado, já fazem 30 dias desde que a gerente aprovou e continua pendente para aprovação. Solicitante abriu um chamado com o time de CSC, onde foi orientado a abrir este chamado com a TI. Poderiam analisar?
⚠️ Informações obrigatórias:
RD: 1828463
Funcional: 001143350
Loja: 616
Telefone:19996942001
📎Anexado imagem do erro relatado. 
Agradecemos o suporte!
Atenciosamente...
Service Desk 💻</t>
  </si>
  <si>
    <t>Taina</t>
  </si>
  <si>
    <t>SH PAULINIA</t>
  </si>
  <si>
    <t>Informamos que foi realizada a análise do Relatório de Despesas (RD) mencionado e identificamos que o fluxo de aprovação necessitava de um direcionamento sistêmico. Efetuamos as atualizações necessárias no Oracle EBS, e o processo de reembolso foi devidamente encaminhado para as próximas etapas de validação.
Confirmamos que o fluxo foi regularizado e que não há mais pendências técnicas ou sistêmicas sob a responsabilidade da TI. Sendo assim, comunicamos o encerramento deste atendimento.
Permanecemos à disposição para suporte em futuras solicitações.
Atenciosamente,
Equipe EBS</t>
  </si>
  <si>
    <t>INC453968T</t>
  </si>
  <si>
    <t>Bom dia, tudo bem?
Ao analisar o relatório do AP de fornecedores Colaboradores  - conta contábil 2102021005, identificamos mais de 16 mil notas que consta no AP com saldo zerado, porém no relatório está com dois lançamentos, um positivo e um negativo, zerando o valor entre si, o que está causando sujidade no relatório.
Favor analisar os casos e se possível realizar a limpeza desses títulos, para que o relatório reflita a real composição de saldos.
Atenciosamente,
CSC Contabilidade.</t>
  </si>
  <si>
    <t>Thais</t>
  </si>
  <si>
    <t>Boa tarde, tudo bem!
Após análise da situação descrita no relatório do AP de fornecedores Colaboradores  (conta contábil 2102021005), foi identificado que as notas zeradas continuam sendo exibidas porque o relatório busca apenas títulos com o status "Não Pago". Embora exista uma linha de valor negativo para zerar o saldo, o status das notas permanece em aberto.
Como procedimento de ajuste, orientamos que a equipe do Contas a Pagar processe essas notas através de um lote de pagamento com efeito zero. Essa ação alterará o status dos títulos para "Pago", eliminando a exibição dessas pendências no relatório.
Solicitamos a validação, mas como não houve retorno em tempo hábil, o chamado está sendo encerrado.
Caso o comportamento persista ou ocorra algum erro, por favor, nos envie as evidências e faça abertura de um novo chamado.
Atenciosamente,
Equipe EBS</t>
  </si>
  <si>
    <t>INC444938T</t>
  </si>
  <si>
    <t>⚠️ Este é um chamado gerado através do comunicado de incidente via Conecta CSC!
Filial: 181
Telefone/Celular: Não</t>
  </si>
  <si>
    <t>Alesson</t>
  </si>
  <si>
    <t>Ferrari</t>
  </si>
  <si>
    <t>Youcom</t>
  </si>
  <si>
    <t>Resolvido (Definitivo)</t>
  </si>
  <si>
    <t xml:space="preserve">Anotações de resolução copiado do incidente primário: Olá,
Foi identificado um travamento na camada de infraestrutura do EBS  devido ao ocorrido nessa madrugada no servidores do banco de dados. 
Vadlidações realizadas com CD e algumas lojas e o ambiente foi normalizado.
Att
Equipe EBS </t>
  </si>
  <si>
    <t>INC444939T</t>
  </si>
  <si>
    <t>⚠️ Este é um chamado gerado através do comunicado de incidente via Conecta CSC!
Filial: 278
Telefone/Celular: 82993343592</t>
  </si>
  <si>
    <t>Raianne</t>
  </si>
  <si>
    <t>INC445226T</t>
  </si>
  <si>
    <t>⚠️ Este é um chamado gerado através do comunicado de incidente via Conecta CSC!
Filial: 533
Telefone/Celular: 49999524186</t>
  </si>
  <si>
    <t>Wandrei</t>
  </si>
  <si>
    <t>⚠️ Este é um chamado gerado através do comunicado de incidente via Conecta CSC!
Filial: 10
Telefone/Celular: Não</t>
  </si>
  <si>
    <t>Fernando</t>
  </si>
  <si>
    <t>INC445223T</t>
  </si>
  <si>
    <t>⚠️ Este é um chamado gerado através do comunicado de incidente via Conecta CSC!
Filial: 163
Telefone/Celular: Não</t>
  </si>
  <si>
    <t>Rafaela</t>
  </si>
  <si>
    <t>INC445225T</t>
  </si>
  <si>
    <t>⚠️ Este é um chamado gerado através do comunicado de incidente via Conecta CSC!
Filial: 108
Telefone/Celular: Não</t>
  </si>
  <si>
    <t>INC444937T</t>
  </si>
  <si>
    <t>⚠️ Este é um chamado gerado através do comunicado de incidente via Conecta CSC!
Filial: 305
Telefone/Celular: 67 992082363</t>
  </si>
  <si>
    <t>Renan</t>
  </si>
  <si>
    <t>⚠️ Este é um chamado gerado através do comunicado de incidente via Conecta CSC!
Filial: 127
Telefone/Celular: 99 98405-1111</t>
  </si>
  <si>
    <t>Lucas</t>
  </si>
  <si>
    <t>INC444932T</t>
  </si>
  <si>
    <t>Bom dia, tudo bem?
Precisamos de apoio com o acesso a plataforma Oracle EBS.
Realizados verificações de java e navegador
Número da sua funcional:100981
Número da sua loja:175
Telefone para contato (que receba Whatsapp):11 96235-7230
Segunda opção de contato, caso não esteja disponível: 11 91204-3739</t>
  </si>
  <si>
    <t>Naete</t>
  </si>
  <si>
    <t>LJ AV PAULISTA</t>
  </si>
  <si>
    <t>INC444926T</t>
  </si>
  <si>
    <t>Bom dia, tudo bem?
Precisamos de apoio com o acesso a plataforma Oracle EBS. 
Segue print em anexo.
Realizados mesmos testes do chamado pai.
Dados do equipamento:
Nº de Imobilizado notebook: 9007137
Número da sua funcional: 00151943
Número da sua loja:021
Telefone para contato (que receba Whatsapp):11 962210918
Segunda opção de contato, caso não esteja disponível:não tem</t>
  </si>
  <si>
    <t>Regiane</t>
  </si>
  <si>
    <t>SH METROPOLE</t>
  </si>
  <si>
    <t>INC444924T</t>
  </si>
  <si>
    <t>Bom dia, tudo bem?
Precisamos de apoio com o acesso a plataforma Oracle EBS.
Time do CSC Fiscal está trabalhando hoje e não estamos conseguindo acessar, segue print em anexo.
Mesmo erro aparece para todas integrantes da equipe.
Esta com um problema no CD 504, de um carro que precisa seguir viagem já está carregado.
Temos como prazo de liberação desse carro já ultrapassado, já era para ter seguido viagem.
Impacto carro preso no CD.
- Problema esta ocorrendo no CD para outros colaboradores 
- Referente ao chamado INC4449173
001163794
CD 504
11976306640</t>
  </si>
  <si>
    <t>Wendel</t>
  </si>
  <si>
    <t>CD CABREUVA</t>
  </si>
  <si>
    <t xml:space="preserve">Bom dia, tudo bem?
A plataforma Oracle EBS esta com erro
- Erro PAge
Ocorreu um erro inesperado. Entre em contato com o Administrador do Sistema para obter ajuda.
Número da sua funcional:139287
Número da sua loja:474
Telefone para contato (que receba Whatsapp):15997584416
Segunda opção de contato, caso não esteja disponíve
</t>
  </si>
  <si>
    <t>Jonathan</t>
  </si>
  <si>
    <t>INC444940T</t>
  </si>
  <si>
    <t>⚠️ Este é um chamado gerado através do comunicado de incidente via Conecta CSC!
Filial: 66
Telefone/Celular: 11959053907</t>
  </si>
  <si>
    <t>Alberto</t>
  </si>
  <si>
    <t>⚠️ Este é um chamado gerado através do comunicado de incidente via Conecta CSC!
Filial: 162
Telefone/Celular: 11957405034</t>
  </si>
  <si>
    <t>Erika</t>
  </si>
  <si>
    <t>INC445224T</t>
  </si>
  <si>
    <t>⚠️ Este é um chamado gerado através do comunicado de incidente via Conecta CSC!
Filial: 360
Telefone/Celular: Não</t>
  </si>
  <si>
    <t>Marcelia</t>
  </si>
  <si>
    <t>INC444928T</t>
  </si>
  <si>
    <t>Colaborador informa que nenhum usuário da loja está conseguindo acessar o EBS.
Problema ocorre em todos os módulos.
Realizado o procedimento abaixo, mas problema persiste:
1. No canto superior direito, clique nos três pontinhos ao lado do perfil &gt;&gt; Configurações.
2. No menu do lado esquerdo, clique em "Privacidade, pesquisa e serviços", desça a página até "Limpar dados de navegação";
3. Clique na opção "Escolher o que limpar";
4. Desmarque "Histórico de navegação" e "Cookies e outros dados do site";
5. Com a opção "Arquivos e imagens em cache" marcada, clique em "Limpar Agora";
6. Caso seja necessário, é recomendado limpar os cookies também;
7. No final, fechar o navegador e abrir novamente.</t>
  </si>
  <si>
    <t>Maria</t>
  </si>
  <si>
    <t>SH IGUATEMI FORTALEZA</t>
  </si>
  <si>
    <t>INC444925T</t>
  </si>
  <si>
    <t>Prezados, tudo bem?
Colaborador(a) entra em contato com Service Desk e relata estar com problema no sistema do EBS. 
❌ Erro apresentado: Assistente de loja, relata que ao acessar o EBS, ao inves de ir para a pagina inicial dele, ja consta o erro de "Ocorreu um erro inesperado, entre em contato com o administrador do sistema para obter ajuda". Poderiam verificar? 
✅ Testes realizados:  
Testado em outros navegadores
testado em aba anonima
Número da sua funcional:001108384
Número da sua loja:001
Telefone para contato (que receba Whatsapp):51995466824
Segunda opção de contato, caso não esteja disponível:5198062101
📎Anexado imagem do(a) ❗Obrigatório❗ 
Atenciosamente, Service Desk ☕   
Assistente de TI</t>
  </si>
  <si>
    <t>Graziela</t>
  </si>
  <si>
    <t>LJ DE GUAIBA</t>
  </si>
  <si>
    <t>INC457434T</t>
  </si>
  <si>
    <t>bom dia, tudo bem?
Lançamentos com vinculo de pagamentos que não sobem os pagamentos para fechamento de lote, já tivemos esse caso antes, precisamos tirar as informações conforme print
ORACLE DO BRASIL SISTEMAS LTDA - 1146.2
ORACLE DO BRASIL SISTEMAS LTDA  - 1142.2</t>
  </si>
  <si>
    <t xml:space="preserve">'- [ ] Qual é o incidente: erro ao efetuar pagamento e 2 NFs
- [ ] Porque aconteceu:  visto que as 2 notas tem fornecedor para remessa no cabeçalho da NF indevidamente
- [ ] Tratativa do incidente:  retirado via update
- [ ] Cabe Causa Raiz:  nao
- [ ] Cabe Melhoria: nao 
- [ ] Cabe treinamento :  nao </t>
  </si>
  <si>
    <t>INC457802T</t>
  </si>
  <si>
    <t>boa tarde, tudo bem?
Solicito teste para informar PO no adiantamento prestado para fornecedor, mas que não tire o saldo do projeto.</t>
  </si>
  <si>
    <t>Bom dia, tudo bem!
Informamos que os ajustes e verificações necessários foram realizados no sistema.
Solicitamos a realização de um novo teste para informar a PO no adiantamento prestado ao fornecedor, validando se o saldo do projeto não é consumido.
Como não houve retorno em tempo hábil, o chamado está sendo encerrado.,
Att.
Equipe EBS</t>
  </si>
  <si>
    <t>INC457793T</t>
  </si>
  <si>
    <t>Favor verificar a nota 1440 - fornecedor TABULEIRO PROMOCOES E EVENTOS LTDA pois a mesma consta com erro de variação de linha, aparentemente esta duplicando a linha de 3.379,35 na classificação contabil, mas ao questionarmos o time de lançamento fomos informados que o lançamento esta correto no RI da nota.</t>
  </si>
  <si>
    <t>Bom dia, tudo bem!
Realizamos as devidas verificações e ajustes referentes à nota fiscal 1440 do fornecedor TABULEIRO PROMOCOES E EVENTOS LTDA, analisando a variação de linha e a aparente duplicidade do valor de R$ 3.379,35 na classificação contábil frente ao lançamento do Registro de Entrada (RI).
Solicitamos que efetue uma nova tentativa de validação do processo.
Como não houve retorno em tempo hábil, o chamado está sendo encerrado.
Att.
Equipe EBS</t>
  </si>
  <si>
    <t>INC457744T</t>
  </si>
  <si>
    <t>Bom dia tudo bem? 
Estamos em atendimento com a cliente, Andressa Oliveira, portadora do CPF 13613349752, na qual estamos tentando realizar um depósito em conta, porem está apresentando o erro de  "Erro ao Criar o site do cliente do estorno11. O Código do Local do Fornecedor é inválido". Segue em anexo.
Precisamos que verifiquem a origem do erro.
Aguardo retorno.
Att,</t>
  </si>
  <si>
    <t>INC456048T</t>
  </si>
  <si>
    <t>Olá, tudo bem?
Por gentielza ativar a parte de atribuiçao para que seja possivel descarterizar
dados:
076.187.151-90
JOAO VITOR ALVES DE ANDRADE</t>
  </si>
  <si>
    <t xml:space="preserve">'- [ ] Qual é o incidente: nao aparece cadastro de funcionario via tela
- [ ] Porque aconteceu:  foi inativado somente a atribuição e de forma indevida
- [ ] Tratativa do incidente:  voltado a data de ativação via datafix na tabela assignments
- [ ] Cabe Causa Raiz:  nao
- [ ] Cabe Melhoria: nao 
- [ ] Cabe treinamento :  nao </t>
  </si>
  <si>
    <t>INC456058T</t>
  </si>
  <si>
    <t>Favor verificar as notas abaixo, pois as mesmas não estao validando.
_1923729 - DEBORA JORGE DE OLIVEIRA
_1922239 - GABRIELA DE LOS ANGELES VALDEZ MENDOZA,</t>
  </si>
  <si>
    <t xml:space="preserve">'- [ ] Qual é o incidente: notas com status de exige revalidação
- [ ] Porque aconteceu:  combinações contábeis foram desativadas
- [ ] Tratativa do incidente:  orientado ativar, contabilizar e desativam novamente
- [ ] Cabe Causa Raiz:  nao
- [ ] Cabe Melhoria: nao 
- [ ] Cabe treinamento :  nao </t>
  </si>
  <si>
    <t>INC457446T</t>
  </si>
  <si>
    <t>Boa Tarde, tudo Bem?
Favor verificar, pois não estamos conseguindo lançar a nota porque a classificação contábil e contas estão divergentes. Segue print.</t>
  </si>
  <si>
    <t>Luana</t>
  </si>
  <si>
    <t xml:space="preserve">'- [ ] Qual é o incidente: conta contabil com erro
- [ ] Porque aconteceu:  conta desativada
- [ ] Tratativa do incidente:  tentei contato sem sucesso
- [ ] Cabe Causa Raiz:  nao
- [ ] Cabe Melhoria: nao 
- [ ] Cabe treinamento :  nao </t>
  </si>
  <si>
    <t>INC457037T</t>
  </si>
  <si>
    <t>Olá, tudo bem?
Estamos com problemas de retenções em notas do fornecedor NAPSE na  Argentina, precisamos de um apoio para entender como se verifica o cadastro do imposto.
Se possível marcarmos uma agenda para conversarmos.</t>
  </si>
  <si>
    <t>Informamos que o suporte referente às retenções de impostos nas notas fiscais do fornecedor NAPSE para a  Argentina foi concluído. Prestamos o apoio necessário para esclarecer o procedimento de verificação do cadastro do imposto no sistema.
Como todas as dúvidas foram sanadas e as parametrizações validadas, confirmamos que não restam pendências para este tema, procedendo assim com o encerramento do chamado.
Permanecemos à disposição para qualquer suporte futuro.
Atenciosamente,
Equipe EBS</t>
  </si>
  <si>
    <t>INC457509T</t>
  </si>
  <si>
    <t>Bom dia!
O lançamento do documento 1284 (filial 11015) não está aparecendo no AP.
Esse documento foi lançado, revertido e relançado por conta da moeda, no RI o lançamento 1284-02 aparece, mas por algum motivo não subiu ao AP para pagamento.</t>
  </si>
  <si>
    <t>Patrick</t>
  </si>
  <si>
    <t xml:space="preserve">'- [ ] Qual é o incidente: nota de reversão nao aparece no AP
- [ ] Porque aconteceu:  nao localizado na interface, visto que e uma customização, e se votar e pegar a PO esta vinculado a 2 notas, mesma linha, com consumo total para NF 1283 e 1284, voltado o status da 1284 e foi excluida, 
- [ ] Tratativa do incidente:  datafix para voltar status para incompleto deletado e entrado com nova PO
- [ ] Cabe Causa Raiz:  nao
- [ ] Cabe Melhoria: nao 
- [ ] Cabe treinamento :  nao </t>
  </si>
  <si>
    <t>INC447174T</t>
  </si>
  <si>
    <t>Favor verificar concorrente de validação, temos um total de 4210 notas sem validação no EBS. Ao rodar o concorrente, ele finaliza com erro.</t>
  </si>
  <si>
    <t xml:space="preserve"> [ ] Qual é o incidente: erro no concorrente de validação
- [ ] Porque aconteceu: 
ORA-00001: restrição exclusiva (AP.AP_INVOICE_DISTRIBUTIONS_U1) violada ocorreu em
Gen_Dists_From_Registration &lt;- AP_APPROVAL_PKG.Execute_Dist_Generation_Check&lt;-
AP_APPROVAL_PKG.Generate_Distributions&lt;-
com os parâmetros ( Invoice Id = 14695960, Invoice Line Number = 1, Registration Api = ,
Registration View = AP_EXP_REPORT_DISTS)
durante a execução da seguinte operação:
&amp;DEBUG_INFO
ORA-20001: APP-SQLAP-10000: ORA-00001: restrição exclusiva (AP.AP_INVOICE_DISTRIBUTIONS_U1)
violada ocorreu em
Gen_Dists_From_Registration &lt;- AP_APPROVAL_PKG.Execute_Dist_Generation_Check&lt;-
AP_APPROVAL_PKG.Generate_Distributions&lt;-
com os parâmetros ( Invoice Id = 14695960, Invoice Line Number = 1, Registration Api = ,
Registration View = AP_EXP_REPORT_DISTS)
durante a execução da seguinte operação:
&amp;DEBUG_INFO
+--------------------------------------
- [ ] Tratativa do incidente:  isolado esta nota do concorrente com o script  concorrente voltou a funcionar, e foi tratado esta NF em outro chamado
UPDATE ap_invoices_all a
   SET validation_request_id = -1
 WHERE invoice_num = '_1781334'
- [ ] Cabe Causa Raiz:  nao
- [ ] Cabe Melhoria: nao 
- [ ] Cabe treinamento :  nao 
- [ ] Instrução IA Válida:</t>
  </si>
  <si>
    <t>INC446824T</t>
  </si>
  <si>
    <t>Não estamos conseguindo validar o rd _1781334 mesmo após desaplicar e aplicar de novo. É o mesmo caso que estava dando problema em abril. 
E o RD _1838369 não esta permitindo validar pois informa divergencia de valor.</t>
  </si>
  <si>
    <t xml:space="preserve">'- [ ] Qual é o incidente:  nf nao esta validando e contabilizando devido aplicação de adiantamento
- [ ] Porque aconteceu:  devido a uma customização de importar nf do tipo reembolso de despesas  que deveria subir como prepayment, e foi executado processo individualizado, as demais foram corrigidas, mas esta estava em um cenario diferente onde estava desaplicada na hora de criar os scripts e fazer a correão
- [ ] Tratativa do incidente:  ajustado os campos de tipo de linha
- [ ] Cabe Causa Raiz:  nao
- [ ] Cabe Melhoria: nao 
- [ ] Cabe treinamento :  nao </t>
  </si>
  <si>
    <t>INC447184T</t>
  </si>
  <si>
    <t>Notas abaixo do fornecedor MINISTERIO DA FAZENDA não estao validando e nem contabilizando, podem verificar por gentileza
Nome do Fornecedor Número do Fornecedor  Número da NFF                                                    Data Contábil Moeda  Quantia da NFF 
MINISTERIO DA FAZENDA 394460                         Retenção Imp. Fonte - 14865238-8-Cancelado          15/06/2026 BRL -34,58 
MINISTERIO DA FAZENDA 394460                         Retenção Imp. Fonte - 14936538-4-Cancelado           17/06/2026 BRL -0,60</t>
  </si>
  <si>
    <t>REPASSA</t>
  </si>
  <si>
    <t xml:space="preserve">'- [ ] Qual é o incidente: notas de impostos nao contabilizam
- [ ] Porque aconteceu:  distribuição contábil esta como -1 ao invés de combinação contábil
- [ ] Tratativa do incidente:  ajustado via update copiando a combinação da NF que nao esta cancelada  exemplo  Retenção Imp. Fonte - 14865238-8  para  Retenção Imp. Fonte - 14865238-8-Cancelado 
- [ ] Cabe Causa Raiz:  nao
- [ ] Cabe Melhoria: nao 
- [ ] Cabe treinamento :  nao </t>
  </si>
  <si>
    <t>INC451509T</t>
  </si>
  <si>
    <t>Por favor, verificar a regra sobre a aprovação deste titulo, o mesmo está caindo para uma pessoa sem conexão com a  UY.</t>
  </si>
  <si>
    <t>Franciellyn</t>
  </si>
  <si>
    <t xml:space="preserve">'- [ ] Qual é o incidente: aprovação indo para pessoa que nao faz parte do grupo de aprovadores
- [ ] Porque aconteceu:  solicitado detalhes 
- [ ] Tratativa do incidente: e a NF foi cancelada, a atual foi correta 
- [ ] Cabe Causa Raiz:  nao
- [ ] Cabe Melhoria: nao 
- [ ] Cabe treinamento :  nao </t>
  </si>
  <si>
    <t>INC441133T</t>
  </si>
  <si>
    <t>Bom dia, tudo bem? estou com dificuldades de fechar lotes de pagamentos em todas as empresas, mesmo após reiniciar o notebook várias vezes.</t>
  </si>
  <si>
    <t>Yana</t>
  </si>
  <si>
    <t>'- [ ] Qual é o incidente: erro ao gerar lote de pagamento
- [ ] Porque aconteceu:  error page
- [ ] Tratativa do incidente:  nao tivemos erro no momento, gerou normal, caso tenha novo erro, solicitado anexar no Ticket a saida do error page, uma vez que a profile esta habilitada
- [ ] Cabe Causa Raiz:  nao
- [ ] Cabe Melhoria: nao 
- [ ] Cabe treinamento :  nao 
- [ ] Instrução IA Válida:</t>
  </si>
  <si>
    <t>INC451514T</t>
  </si>
  <si>
    <t>Pagamento 2630887 não esta contabilizando</t>
  </si>
  <si>
    <t xml:space="preserve">'- [ ] Qual é o incidente: pagamento nao contabiliza
- [ ] Porque aconteceu:  erro em NFs , campo da distribuição nao estava atualizando o status, ajustado as notas, contabilizou o pagamento
- [ ] Tratativa do incidente:  ajustado status na distributions das notas, contabilizou o pagamento
- [ ] Cabe Causa Raiz:  nao
- [ ] Cabe Melhoria: nao 
- [ ] Cabe treinamento :  nao </t>
  </si>
  <si>
    <t>INC440417T</t>
  </si>
  <si>
    <t>Olá, tudo bem? Favor verificar a nota 6741 fornecedor LOG20 LOGISTICA S A pois a mesma possui duas linhas na classificação contabil e o correto e que consta no RI é somente uma linha no valor de 840,84</t>
  </si>
  <si>
    <t>CAMICADO</t>
  </si>
  <si>
    <t>'- [ ] Qual é o incidente: nota com status de exige revalidação 
- [ ] Porque aconteceu:  visto que nota tem 2 linhas, uma importada e uma manual do mesmo valor, ficando com valor duplicado em relaçao ao valor da nota 
- [ ] Tratativa do incidente:  orientado descartar uma das linhas
- [ ] Cabe Causa Raiz:  nao
- [ ] Cabe Melhoria: nao 
- [ ] Cabe treinamento :  nao 
- [ ] Instrução IA Válida: nao se aplica</t>
  </si>
  <si>
    <t>INC440672T</t>
  </si>
  <si>
    <t>Pagamento 2609566 não esta contabilizando. Favor verificar 
sta linha não pode ser lançada até que o evento contábil ao qual ela faz referência tenha sido totalmente lançado.
Certifique-se de que os eventos contábeis da transação com os seguintes identificadores da aplicação Payables foram lançados: invoice_id: 14795946.
Esta linha não pode ser lançada até que o evento contábil ao qual ela faz referência tenha sido totalmente lançado.
Certifique-se de que os eventos contábeis da transação com os seguintes identificadores da aplicação Payables foram lançados: invoice_id: 14800573.
Esta linha não pode ser lançada até que o evento contábil ao qual ela faz referência tenha sido totalmente lançado.
Certifique-se de que os eventos contábeis da transação com os seguintes identificadores da aplicação Payables foram lançados: invoice_id: 14800633.
Esta linha não pode ser lançada até que o evento contábil ao qual ela faz referência tenha sido totalmente lançado.
Certifique-se de que os eventos contábeis da transação com os seguintes identificadores da aplicação Payables foram lançados: invoice_id: 14800655.
Esta linha não pode ser lançada até que o evento contábil ao qual ela faz referência tenha sido totalmente lançado.
Certifique-se de que os eventos contábeis da transação com os seguintes identificadores da aplicação Payables foram lançados: invoice_id: 14800668.</t>
  </si>
  <si>
    <t>'- [ ] Qual é o incidente: pagamento nao contabiliza
- [ ] Porque aconteceu:  nas distribuições das notas nao ficou marcado como contabilizado, mas nas tabelas e contabilizão sim, as xla estavam ok
- [ ] Tratativa do incidente:  ajustado os status na tabela e distribuição para Y e pagamento foi contabilizado via tela pela usauria
- [ ] Cabe Causa Raiz:  nao
- [ ] Cabe Melhoria: nao 
- [ ] Cabe treinamento :  nao 
- [ ] Instrução IA Válida:</t>
  </si>
  <si>
    <t>INC458454T</t>
  </si>
  <si>
    <t>Olá, tudo bem?
Realizei o lançamento de um adiantamento e preciso aplicar faturas nele, porém não fica disponível o "botão" para realizar a aplicação. Favor verificar.
FORN: AGENCIA DE RECAUDACION Y CONTROL ADUANERO ARCA
NOTA: 1670415017</t>
  </si>
  <si>
    <t xml:space="preserve">'- [ ] Qual é o incidente:   nao libera botao de aplicar/desaplicar em 2 pagamentos antecipados
- [ ] Porque aconteceu:  status do Pagamento antecipado
- [ ] Tratativa do incidente:  alterei para permanente e voltei para temporário o status e liberou 
- [ ] Cabe Causa Raiz:  nao
- [ ] Cabe Melhoria: nao 
- [ ] Cabe treinamento :  nao </t>
  </si>
  <si>
    <t>INC444929T</t>
  </si>
  <si>
    <t>Bom dia, tudo bem?
Precisamos de apoio com o acesso a plataforma Oracle EBS.
Número da sua funcional:001190242
Número da sua loja:473
Telefone para contato (que receba Whatsapp):11911615195
Horários que podemos entrar em contato:11974385172</t>
  </si>
  <si>
    <t>Flavio</t>
  </si>
  <si>
    <t>SH PLAZA SHOPPING ITU</t>
  </si>
  <si>
    <t>INC443368T</t>
  </si>
  <si>
    <t>lentidão e erro na geração de lote.</t>
  </si>
  <si>
    <t>2 - Alto(a)</t>
  </si>
  <si>
    <t>Olá tudo bem? Tivemo o retorno que os lotes estão sendo gerados. Estamos encerrando essa solicitação  caso precise de ajuda me avise via teams por favor</t>
  </si>
  <si>
    <t>INC455634T</t>
  </si>
  <si>
    <t>Olá, tudo bem?
Favor realizar a exclusão do fluxo, pois não conseguir subir uma nova atualização e nem dar andamento 
Nome: MANIA DE BICHO SERVIÇOS VETERINÁRIOS LTDA
CNPJ: 64.710.299/0001-50</t>
  </si>
  <si>
    <t xml:space="preserve">'- [ ] Qual é o incidente: erro ao atualizar fluxo de fornecedor
- [ ] Porque aconteceu:  erro no MDM visto em reunião, mostra que ao atualizar neste sistema diz que ja existe um fluxo em andamento,
- [ ] Tratativa do incidente:  orientado abrir um chamado para MDM
- [ ] Cabe Causa Raiz:  nao
- [ ] Cabe Melhoria: nao 
- [ ] Cabe treinamento :  nao </t>
  </si>
  <si>
    <t>INC455112T</t>
  </si>
  <si>
    <t>Olá, tudo bem?
Estou tentando um cadastro de ex funcionário descaracterizar e não esta aparecendo p mim, poderiam verificar
Nome: Fernanda Miranda de Oliveira
Cpf:  03105217002</t>
  </si>
  <si>
    <t>Informamos que o processo de descaracterização para o cadastro da ex-funcionária Fernanda Miranda de Oliveira, CPF 03105217002, foi concluído com sucesso no sistema. Após a realização dos ajustes necessários, confirmamos que o registro está regularizado e sem pendências ativas. Com isso, este chamado está sendo encerrado, mas permanecemos à inteira disposição para suporte futuro caso necessário.
Atenciosamente,
Equipe EBS</t>
  </si>
  <si>
    <t>⚠️ Este é um chamado gerado através do comunicado de incidente via Conecta CSC!
Filial: 572
Telefone/Celular: 35 999185595</t>
  </si>
  <si>
    <t>Aksa</t>
  </si>
  <si>
    <t>⚠️ Este é um chamado gerado através do comunicado de incidente via Conecta CSC!
Filial: 178
Telefone/Celular: Não</t>
  </si>
  <si>
    <t>Aldenys</t>
  </si>
  <si>
    <t>INC441156T</t>
  </si>
  <si>
    <t>Notamos que ao realizar baixas manuais ou confirmação dos lotes de GNRE em sistema, as baixas ao inves de ficar com status "negociavel" na tela de pagamentos esta ficando como "emitido" onde a informação de pagamento não consta na query de pagamento devido ao status na tela de pagamentos.</t>
  </si>
  <si>
    <t>'- [ ] Qual é o incidente: Notamos que ao realizar baixas manuais ou confirmação dos lotes de GNRE em sistema, as baixas ao inves de ficar com status "negociavel" na tela de pagamentos esta ficando como "emitido"
- [ ] Porque aconteceu:  tempo de resposta
- [ ] Tratativa do incidente:  ao localizar ja estava alterado, pesquisei e Para pagamentos eletrônicos no Oracle EBS R12, não existe um programa concorrente padrão que simplesmente execute uma atualização genérica de "Emitido" → "Negociável" para todos os casos. este ao ser executado e concluído altera o status 
- [ ] Cabe Causa Raiz:  nao
- [ ] Cabe Melhoria: nao 
- [ ] Cabe treinamento :  nao 
- [ ] Instrução IA Válida:</t>
  </si>
  <si>
    <t>⚠️ Este é um chamado gerado através do comunicado de incidente via Conecta CSC!
Filial: 76
Telefone/Celular: 18996901454</t>
  </si>
  <si>
    <t>Scarleth</t>
  </si>
  <si>
    <t>INC445204T</t>
  </si>
  <si>
    <t>⚠️ Este é um chamado gerado através do comunicado de incidente via Conecta CSC!
Filial: 568
Telefone/Celular: 3299939935</t>
  </si>
  <si>
    <t>Alexandre</t>
  </si>
  <si>
    <t>INC445222T</t>
  </si>
  <si>
    <t>⚠️ Este é um chamado gerado através do comunicado de incidente via Conecta CSC!
Filial: 236
Telefone/Celular: 91981308202</t>
  </si>
  <si>
    <t>Antonia</t>
  </si>
  <si>
    <t>⚠️ Este é um chamado gerado através do comunicado de incidente via Conecta CSC!
Filial: 559
Telefone/Celular: 7399761332</t>
  </si>
  <si>
    <t>Yolly</t>
  </si>
  <si>
    <t>INC444930T</t>
  </si>
  <si>
    <t>Título do Chamado:
Falha de acesso ao sistema EBS
Descrição:
O colaborador informa que não está conseguindo acessar o sistema EBS, sendo exibida uma tela de erro durante a tentativa de login. Foram realizados testes em aba anônima, sem sucesso. O acesso foi tentado em um notebook e, mesmo após suporte remoto, o problema persistiu. Solicita verificação e correção para restabelecimento do acesso ao sistema, devido à necessidade de lançamento de notas dentro do prazo.
OBS: link do em modo OIE adicionado em configurações de navegador e guia anônima.
Dados do colaborador:
Nº de Imobilizado: 9005810
Número da funcional: 69538
Número da loja: 300
Telefone para contato (WhatsApp): (84) 98729-9432
Segunda opção de contato: (84) 98729-9432</t>
  </si>
  <si>
    <t>Adelaide</t>
  </si>
  <si>
    <t>SH NATAL</t>
  </si>
  <si>
    <t>INC454673T</t>
  </si>
  <si>
    <t>Boa tarde, tudo bem?
Estamos com uma cliente, em duas solicitações para depósito em conta, porém apresenta o mesmo erro de " O Código do Local do Fornecedor é inválido".
Nome: Fernanda Miranda de Oliveira
Cpf: 03105217002
Precisamos que seja realizado algum ajuste no perfil da cliente, para que possamos realizar o pagamento.
Aguardo retorno.</t>
  </si>
  <si>
    <t>[ ] Qual é o incidente?
Estamos com uma cliente, em duas solicitações para depósito em conta, porém apresenta o mesmo erro de " O Código do Local do Fornecedor é inválido".
[ ] Por que aconteceu?
O local Escritório do fornecedor FERNANDA MIRANDA DE OLIVEIRA está inativo em 13/11/2020.
[ ] Tratativa do incidente
Entrar em contato com a área de cadastro para a devida regularização.
Para ajuste do cadastro de fornecedor por favor abra um chamado no portal CSC:
https://.service-now.com/esc?id=sc_cat_item&amp;table=sc_cat_item&amp;sys_id=6d214c3f1b0882101e870e9fe54bcb4e
CSC &gt; Gestão de Fornecedores &gt; Governança de fornecedores e parceiros &gt; Cadastro, homologação e monitoramento (atualização de dados)
Login - Employee Center
[ ] Cabe Melhoria?
Não
[ ] Cabe Causa raiz?
Não</t>
  </si>
  <si>
    <t>INC443275T</t>
  </si>
  <si>
    <t>olá, tudo bem?
não estou conseguindo cadastrar a funcionaria Andreia Gomes Farias nem no AP e nem no PO, 
FUNCIONAL: 001106558</t>
  </si>
  <si>
    <t>Informamos que o cadastro da funcionária Andreia Gomes Farias, sob o registro funcional 001106558, foi concluído com sucesso e já se encontra devidamente regularizado para utilização nos módulos de AP e PO. Realizamos todas as parametrizações necessárias e confirmamos que não restam pendências para este registro.
Diante disso, estamos procedendo com o encerramento deste chamado. Permanecemos à disposição para suporte futuro caso seja necessário.
Atenciosamente,
Equipe EBS</t>
  </si>
  <si>
    <t>INC453437T</t>
  </si>
  <si>
    <t>Favor verificar a nota 105260     do fornecedor TRIBUNAL REGIONAL  DO TRABALHO DA 7A REGIAO pois a mesma não esta integrando para o EBS, esta com status rejeitado na interface e ao tentar integrar consta o motivo de rejeição "Número de entrega da OC Inválido"</t>
  </si>
  <si>
    <t>Informamos que a análise da nota fiscal 105260, referente ao fornecedor TRIBUNAL REGIONAL DO TRABALHO DA 7A REGIAO, foi concluída. Foi observado que a integração na interface apresentava rejeição devido ao número de entrega da OC constar como inválido.
Após a realização das devidas correções e o reprocessamento da interface, a nota fiscal foi integrada com sucesso no Oracle EBS. Confirmamos que o processo foi finalizado e que não constam pendências para este documento. Diante disso, estamos procedendo com o encerramento deste chamado.
Permanecemos à disposição para suporte em futuras solicitações.
Atenciosamente,
Equipe EBS</t>
  </si>
  <si>
    <t>Bom dia, tudo bem?
Precisamos de apoio com o acesso a plataforma Oracle EBS.
Número da sua funcional: 001205297
Número da sua loja: 610
Telefone para contato (que receba Whatsapp): (43)99161-2403
Horários que podemos entrar em contato: 10h</t>
  </si>
  <si>
    <t>Greice</t>
  </si>
  <si>
    <t>610 - SH CENTRO NORTE APUCARANA</t>
  </si>
  <si>
    <t>INC444917T</t>
  </si>
  <si>
    <t>Bom dia, tudo bem?
Precisamos de apoio com o acesso a plataforma Oracle EBS.
Time do CSC Fiscal está trabalhando hoje e não estamos conseguindo acessar, segue print em anexo.
Mesmo erro aparece para todas integrantes da equipe.
Att
Luana M. Hends de Souza
CSC Fiscal</t>
  </si>
  <si>
    <t xml:space="preserve">Olá,
Foi identificado um travamento na camada de infraestrutura do EBS  devido ao ocorrido nessa madrugada no servidores do banco de dados. 
Vadlidações realizadas com CD e algumas lojas e o ambiente foi normalizado.
Att
Equipe EBS </t>
  </si>
  <si>
    <t>⚠️ Este é um chamado gerado através do comunicado de incidente via Conecta CSC!
Filial: 419
Telefone/Celular: 51 998616914</t>
  </si>
  <si>
    <t>Ana</t>
  </si>
  <si>
    <t>INC445914T</t>
  </si>
  <si>
    <t>Boa Tarde! Tudo bem?
Podem auxiliar com cadastros de ex-colaboradores?
Ao tentar reativar não encontramos.
Ao tentar cadastrar para baixa, diz que já existe:
BRUNA FERNANDA OGAWA GALEAZZI, 1134001
CAMILA CASSEL GREENFIELD, 1152874
CAROLINA LOURENCO TELHADA ZANZINI, 1154335
CRISTINA FLEURY LOMBARD LOCCHI, 1157626
ELIZABETH RODRIGUES DE ABREU, 1143067
GABRIELA GEORGETE LANGE, 1148106
THIAGO AUGUSTO SILVA MACHADO DE MELO, 1149973
Att,
CSC Cadastro.</t>
  </si>
  <si>
    <t>Elisa</t>
  </si>
  <si>
    <t>'- [ ] Qual é o incidente:  funcionários ativos, nao aparece no AP para prestar contas e nem no cadastro de fornecedor
- [ ] Porque aconteceu:  locais desativados
- [ ] Tratativa do incidente:  depois de anallise, foi ajustado via datafix a data de efetivação do slocais
- [ ] Cabe Causa Raiz:  nao
- [ ] Cabe Melhoria: nao 
- [ ] Cabe treinamento :  nao 
- [ ] Instrução IA Válida:
--BRUNA FERNANDA OGAWA GALEAZZI, 1134001
--CAMILA CASSEL GREENFIELD, 1152874
--CAROLINA LOURENCO TELHADA ZANZINI, 1154335
--CRISTINA FLEURY LOMBARD LOCCHI, 1157626
--ELIZABETH RODRIGUES DE ABREU, 1143067
--GABRIELA GEORGETE LANGE, 1148106
--THIAGO AUGUSTO SILVA MACHADO DE MELO, 1149973
select vendor_id, vendor_name, segment1, enabled_flag,employee_id, end_date_active
from apps.ap_suppliers
where 1=1
and vendor_ID IN ( 373480,664423, 690485,850421, 560370, 618383,630390 ); -- 690485 560370 373480
SELECT * FROM APPS.FND_USER
WHERE 1=1
AND USER_ID IN (95895,1163 );
select * -- VENDOR_ID, INACTIVE_DATE
from apps.ap_supplier_SITES_ALL
where 1=1
and vendor_ID IN (373480,664423, 690485,850421, 560370, 618383,630390 )
-- 4 LINHAS
UPDATE apps.ap_supplier_SITES_ALL
SET INACTIVE_DATE = NULL
where 1=1
and vendor_ID IN (850421, 618383, 630390 , 664423 )</t>
  </si>
  <si>
    <t>INC444552T</t>
  </si>
  <si>
    <t>Favor verificar, notas abaixo não estao validando e nem contabilizando no EBS. 
_1835096
_1824142
_1828829
_1828703
_1828142
_1781334
_1828709
_1838149
_1837226
Segue erro que aparece ao tentar validar. 
Erro
Ocorrência de erro inesperado durante o Cálculo de Imposto.
Exceção: Ocorreu um erro inesperado. Entre em contato com o administrador do sistema.
Corrija o problema ou entre em contato com o Administrador do Sistema.</t>
  </si>
  <si>
    <t>- [ ] Qual é o incidente: reembolsos nao permite aplicação de depsesas
Segue erro que aparece ao tentar validar.
Erro
Ocorrência de erro inesperado durante o Cálculo de Imposto.
Exceção: Ocorreu um erro inesperado. Entre em contato com o administrador do sistema.
Corrija o problema ou entre em contato com o Administrador do Sistema.
- [ ] Porque aconteceu: O erro se deu por ter sido executado mais de uma vez o concorrente: Exportação do Relatório de Despesas que existe uma customização (XXRNER - Integra Título Adiantamento OIE) que altera o adiantamento que o usuário cria no expenses, o core é expenses mas a custom deixa lançar como adiantamento, por isso a importância de executar SEMPRE o conjunto na hora de exportar.
Fizemos o seguinte, mudamos o nome do concorrente pois não podemos inativar, senão, não aparece no conjunto
de : Exportação do Relatório de Despesas
Para: USAR Conjunto  - Exportação do Relatório de Despesas
SEMPRE que necessário executar este :
Conjunto :  - Exportação do Relatório de Despesas
que comtempla:
USAR Conjunto  - Exportação do Relatório de Despesas
XXRNER - Integra Título Adiantamento OIE
- [ ] Tratativa do incidente: levantamento de todas os adiantamentos que que estao com erro e corrigido via tabela, os campos que deveria ter sido ajustado na custom, orientado
segue os adiantamentos que subiram sem ser pelo conjunto de solicitações e estava com erro pra validar.
Conforme alinhamos precisa nos casos que estão aplicados, desaplicar &gt; validar e criar contabilidade &gt; aplicar &gt; validar e criar contabilidade novamente.
SEMPRE que necessário executar este :
Conjunto :  - Exportação do Relatório de Despesas
que comtempla:
USAR Conjunto  - Exportação do Relatório de Despesas
XXRNER - Integra Título Adiantamento OIE
- [ ] Cabe Causa Raiz:  nao
- [ ] Cabe Melhoria: nao 
- [ ] Cabe treinamento :  nao 
- [ ] Instrução IA Válida:</t>
  </si>
  <si>
    <t>⚠️ Este é um chamado gerado através do comunicado de incidente via Conecta CSC!
Filial: 69
Telefone/Celular: nao</t>
  </si>
  <si>
    <t>Vilmar</t>
  </si>
  <si>
    <t>Favor verificar nota, não esta validando e nao consigo visualizar quem lançou pois aparece como APPSMGR 
MINISTERIO DA FAZENDA
Retenção Imp. Fonte - 14816859-3-Cancelado</t>
  </si>
  <si>
    <t xml:space="preserve"> [ ] Qual é o incidente: Nota cancelada não contabiliza, não gerando distribuição para a nota **Retenção Imp. Fonte - 14816859-3-Cancelado**.
 [ ] Porque aconteceu: Foi identificado que a distribuição da nota estava com a **combinação contábil nula**, impedindo a contabilização do documento.
[ ] Tratativa do incidente: Realizada análise da nota e de sua respectiva nota de origem. Foi identificado que a nota cancelada não possuía combinação contábil na distribuição. Para regularização do cenário, foi copiada a combinação contábil da nota **Retenção Imp. Fonte - 14816859-3**, permitindo a correta contabilização da nota cancelada.
Consultas utilizadas na análise:
```sql
select invoice_id,vendor_id, invoice_num,invoice_amount, invoice_date, org_id
from apps.ap_invoices_all
where 1=1
and invoice_num like 'Retenção Imp. Fonte - 1481685%';
select * 
from apps.ap_invoice_distributions_all
where 1=1
and invoice_id in (14874150,14894289);
update apps.ap_invoice_distributions_all
set dist_code_combination_id = 289945
where 1=1
and invoice_id in (14894289);
```
Após o ajuste, a distribuição foi regularizada e a contabilização passou a ocorrer normalmente.
[ ] Cabe Causa Raiz: Não
[ ] Cabe Melhoria: Não
 [ ] Cabe Treinamento: Não
</t>
  </si>
  <si>
    <t>INC446008T</t>
  </si>
  <si>
    <t>Bom dia, tudo bem!
Precisamos de uma Query de todos os fornecedores internacionais que contenham as colunas, Nome - País - Texto Abreviado - Texto Longo. Essa Query precisa ser em excel para que possamos direcioná-la para a Onnix.
At.te
Ana
CSC Cadastro</t>
  </si>
  <si>
    <t>Informamos que a extração de dados dos fornecedores internacionais foi concluída com sucesso. A query contendo as colunas Nome, País, Texto Abreviado e Texto Longo foi executada e as informações foram consolidadas em formato Excel, estando prontas para o direcionamento à Onnix.
Confirmamos que não há pendências relacionadas a esta solicitação e estamos realizando o encerramento deste chamado. Permanecemos à disposição para suporte em futuras necessidades.
Atenciosamente,
Equipe EBS</t>
  </si>
  <si>
    <t>INC446710T</t>
  </si>
  <si>
    <t>boa tarde, tudo bem?
Lote esta gerando erro ao fechar. 101354019
Status fica 'Selecionando Pagamentos Programados'</t>
  </si>
  <si>
    <t xml:space="preserve">'- [ ] Qual é o incidente: lote de pagamento nao finaliza e nao segue esta preso no status  'Selecionando Pagamentos Programados'
- [ ] Porque aconteceu:  um anota estava com erro 
- [ ] Tratativa do incidente:  orientado excluir a NF do lote e gerar outro que ficou OK
- [ ] Cabe Causa Raiz:  nao
- [ ] Cabe Melhoria: nao 
- [ ] Cabe treinamento :  nao 
- [ ] Instrução IA Válida:
</t>
  </si>
  <si>
    <t>INC452250T</t>
  </si>
  <si>
    <t>Bom dia, tudo bem?
sou de cadastro, estou com o fornecedor ALINE ABOLAFIO KUPTY LASELVA - 42.184.367/0001-52, esta com os dados bancários corretos porem não sobe os dados para pagamento, exclui o vinculo e mesmo assim segue com erro, segue print do contas a pagar</t>
  </si>
  <si>
    <t xml:space="preserve">Qual é o incidente:** Notas fiscais não estavam sendo incluídas no lote de pagamento.
Porque aconteceu:** Foi identificado que o fornecedor possuía um relacionamento de pagamento a terceiros anteriormente. Embora esse relacionamento esteja atualmente inativo, as notas fiscais ainda permaneciam vinculadas a esse relacionamento, impedindo sua inclusão no lote de pagamento.
Tratativa do incidente:Foram realizadas consultas para validar o cadastro do fornecedor e das notas fiscais afetadas. Identificado o vínculo residual com o relacionamento de pagamento, foram removidas as informações de **Remit To Supplier**, **Remit To Supplier Site** e Relationship ID** das notas impactadas. Após a limpeza desses campos, as notas passaram a ser incluídas normalmente nos lotes de pagamento.
Consultas e ajuste realizados:
```sql
select * from apps.ap_suppliers
where 1=1
and vendor_name like 'ALINE ABOLAFIO%';
select * from apps.ap_invoices_all
where 1=1
and vendor_id in (731501,698421)
and payment_status_flag = 'N'
order by creation_date desc;
update apps.ap_invoices_all
set REMIT_TO_SUPPLIER_NAME = NULL,
    REMIT_TO_SUPPLIER_ID = NULL,
    REMIT_TO_SUPPLIER_SITE = NULL,
    REMIT_TO_SUPPLIER_SITE_ID = NULL,
    RELATIONSHIP_ID = NULL
where invoice_id in (14934584,14934582,14934585,14964450,14934583);
Com a remoção dos vínculos de relacionamento, o processo foi normalizado e as notas puderam ser selecionadas corretamente para pagamento.
Cabe Causa Raiz: Não
Cabe Melhoria: Não
Cabe Treinamento: Não
</t>
  </si>
  <si>
    <t>INC453773T</t>
  </si>
  <si>
    <t>Bom dia! 
Foi realizado o processo na Dootax com êxito para as guias de icms na Sefaz RN. mas não integrou para o AP 
Aconteceu a mesma coisa período passado. foi gerado ontem, meio-dia para 3 empresas, vence amanhã, podem me ajudar a integrar esses pagamento de forma automatizada?</t>
  </si>
  <si>
    <t>Michele</t>
  </si>
  <si>
    <t>Confirmamos que a integração automatizada das guias de ICMS da Sefaz RN, processadas via Dootax, foi concluída com sucesso no módulo de Contas a Pagar (AP) para as três empresas mencionadas. Os pagamentos já se encontram devidamente integrados e programados, não restando pendências para o vencimento.
Com a finalização do processo, este chamado será encerrado. Permanecemos à disposição caso necessite de suporte no futuro.
Atenciosamente,
Equipe EBS</t>
  </si>
  <si>
    <t>INC448959T</t>
  </si>
  <si>
    <t>Olá, tudo bem?
CAMICADO_1840472
estou com problema nesta RD, o gerente esta certo no HR e o valor de aprovação também, porém a RD esta subindo para o Fábio</t>
  </si>
  <si>
    <t xml:space="preserve">'- [ ] Qual é o incidente: aprovação cai para diretor 
- [ ] Porque aconteceu:  regra esta caindo para diretor, visto que esta caindo na regra de aprovador escolhido
- [ ] Tratativa do incidente:  orientado nao escolher aprovador que segue outra regra
- [ ] Cabe Causa Raiz:  nao
- [ ] Cabe Melhoria: nao 
- [ ] Cabe treinamento :  nao </t>
  </si>
  <si>
    <t>INC446790T</t>
  </si>
  <si>
    <t>Bom Dia! Tudo bem?
Favor reativar a ex-colaboradora para baixa de cartão coorporativo: BRUNA FERNANDA OGAWA GALEAZZI, CPF: 02283502047 FUNCIONAL: 001134001.
Não sabemos o motivo dos colaboradores estarem sumindo do AP sem opção para reativarmos por aqui.
Já abrimos outros chamados sobre: RITM0731939/ INC4389804/ INC4459147 .
Att,
Elisa Berni.
CSC Cadastros</t>
  </si>
  <si>
    <t>Olá,
Informamos no chamado que o fornecedor AP correto e ativo é BRUNA FERNANDA XAVIER OGAWA.
Este está vinculado ao HR BRUNA FERNANDA OGAWA GALEAZZI.
Pelo que eu vi no print a analista Vanessa está informando um valor inválido para cadastro do fornecedor.
Ela precisa entrar com o fornecedor BRUNA FERNANDA XAVIER OGAWA.
Chamado sendo encerrado, pois não há mais ação pelo suporte.
Att.
Equipe EBS</t>
  </si>
  <si>
    <t>INC448222T</t>
  </si>
  <si>
    <t>Olá, tudo bem?
Favor verificar o motivo deste fornecedor não ter solicitado aprovação de lançamento manual.
EMPRESA :
CAMPOS CARTORIO DO 11 OFICIO DE NOTAS E REGISTR IMOVEIS</t>
  </si>
  <si>
    <t>'- [ ] Qual é o incidente: nota nao caiu em nenhuma regra de aprovação
- [ ] Porque aconteceu:  fornecedor cadastrado como  TAX AUTHORITY,, sendo que e cartorio e nao é autoridade fiscal 
- [ ] Tratativa do incidente: encontrado que nao caiu na regra pois na regra a pessoa que criou precisa ser posição no cadastro  e neste caso foi a Fran que criou e ela nao tem, mas nao deveria cair nesta regra, mas o fornecedor foi criado como TAX AUTHORITY, então caiu na regra indevida, orientado corrigir o fornecedor para que as próximas notas nao fiquem sem aprovação
- [ ] Cabe Causa Raiz:  nao
- [ ] Cabe Melhoria: nao 
- [ ] Cabe treinamento :  nao 
condições: da regra RN_IMPOSTOS_BRASIL
SUPPLIER_INVOICE_TYPE_LOOKUP_CODE em (STANDARD) Ordinário Cabeçalho Remover
SUPPLIER_INVOICE_CURRENCY_CODE em (BRL) Ordinário Cabeçalho Remover
RN_AP_TIPO_FORNECEDOR em (TAX AUTHORITY) Ordinário Cabeçalho Remover
SUPPLIER_INVOICE_SOURCE em (DOOTAX_ICMS, Manual Invoice Entry)
grupo aprovadores
RN_AP_IMPOSTOS_BRASIL
SELECT 'PERSON_ID:'||PER.PERSON_ID MYAMEID
FROM apps.per_assignments_f per
,apps.hr_all_positions_f ppv
,apps.fnd_lookup_values fnd
,(Select aia.SOURCE,aia.INVOICE_AMOUNT TOTAL, aia.INVOICE_ID, fu.employee_id
From apps.AP_INVOICES_ALL aia
,apps.fnd_user fu
where aia.INVOICE_ID = :transactionId
AND aia.created_by = fu.user_id) aia
where PER.effective_end_date &gt; SYSDATE
AND per.position_id = ppv.position_id
AND ppv.name = fnd.description
AND fnd.lookup_type = 'XXRNER_AME_APROVADORES_IMPOSTO'
AND fnd.language = 'PTB'
AND (aia.source = 'DOOTAX_ICMS' or aia.employee_id &lt;&gt; per.person_id)
AND trunc(aia.total) BETWEEN fnd.attribute1 AND fnd.attribute2
and per.person_id in (select fu.EMPLOYEE_ID from apps.fnd_user fu where fu.END_DATE is null)</t>
  </si>
  <si>
    <t>INC453239T</t>
  </si>
  <si>
    <t>Bom dia, tudo bem? Estamos com 306 casos de pagamentos a cliente da marca , que foram integrados ao EBS no dia 01.07 e deveriam já ter recebido a crítica final de "PAGAMENTO EFETUADO COM SUCESSO" ou de  "erro"
Precisamos que verifiquem urgentemente o ocorrido, nosso cliente está retornando por não ter recebido o pagamento.
Segue em anexo os casos</t>
  </si>
  <si>
    <t>Iara</t>
  </si>
  <si>
    <t xml:space="preserve">'- [ ] Qual é o incidente: notas rejeitadas na interface
- [ ] Porque aconteceu:  data gl de junho
- [ ] Tratativa do incidente:  akustado via data fix as data gl das 299 notas cabeçalho e linhas
- [ ] Cabe Causa Raiz:  nao
- [ ] Cabe Melhoria: nao </t>
  </si>
  <si>
    <t>INC453843T</t>
  </si>
  <si>
    <t>Aplicação do patch relacionado ao CVE-2026-46817</t>
  </si>
  <si>
    <t xml:space="preserve">Informamos que a aplicação do **patch de correção** no ambiente de **Produção do Oracle EBS** foi concluída com sucesso nos servidores **AS963, AS964, AS965, AS966, AS967, AS968 e AS969**.
Após a implementação, foram executadas as validações previstas no plano de testes, incluindo verificação dos concorrentes, login via Oracle Forms e OA Framework, workflows, principais formulários, interfaces, XML Publisher, Concurrent Managers e validações de banco de dados, não sendo identificadas inconsistências que comprometessem a operação do ambiente. As validações realizadas confirmaram o funcionamento esperado dos componentes impactados pela atualização.
Dessa forma, o ambiente encontra-se estável e operando normalmente, sendo o incidente considerado resolvido e encerrado.
Atenciosamente,
Equipe EBS
</t>
  </si>
  <si>
    <t>INC454652T</t>
  </si>
  <si>
    <t>Favor verificar a nota Retenção Imp. Fonte - 15053239-8-Cancelado referente ao fornecedor MINISTERIO DA FAZENDA pois a mesma não esta validando por divergencia na classificação.</t>
  </si>
  <si>
    <t xml:space="preserve">'- [ ] Qual é o incidente: notas nao validam
- [ ] Porque aconteceu:  notas nao tem distribuição contábil
- [ ] Tratativa do incidente:  foi copiado a distribuição contabil da NF nao cancelada
- [ ] Cabe Causa Raiz:  nao
- [ ] Cabe Melhoria: nao 
- [ ] Cabe treinamento :  nao </t>
  </si>
  <si>
    <t>INC454585T</t>
  </si>
  <si>
    <t>Olá, tudo bem? 
Estou com problemas para realizar a baixa de impostos para fechamento mensal, dos títulos abaixo:
NFF: Retenção Imp. Fonte - 3607215 - 3 
NFF: Retenção Imp. Fonte - 3607215-3-Cancelado
Fornecedor: MINISTERIO DA FAZENDA, local: CSLL
Foi tentado realizar as devidas baixa no banco "BAIXA PIS/COFINS CA" como compensação, porém na hora de fechar o lote, ele traz o erro  "Falha no documento de conta a pagar devido a falha no pagamento-pai", foi tentado localizar na aba 2 linhas o nome PIS/COFINS/CSLL para excluir o mesmo, mas não constava nada.
Precisamos realizar a baixa desses títulos.
Bianca Brasil 
CSC Contas a Pagar</t>
  </si>
  <si>
    <t>Bianca</t>
  </si>
  <si>
    <t xml:space="preserve">'- [ ] Qual é o incidente: lote de pagamento nao finaliza
- [ ] Porque aconteceu:  erro de conta bancaria de desembolso
- [ ] Tratativa do incidente:  orientado pagar via tela pois mostra erro descrito de outra forma, mas clara que via lote (Falha no documento de conta a pagar devido a falha no pagamento-pai), via forms, mostrou erro de conta de desembolso nao permite pagamento zero
orientado mudar a conta de pagamento para uma que esta configurado para pagar 0
- [ ] Cabe Causa Raiz:  nao
- [ ] Cabe Melhoria: nao 
- [ ] Cabe treinamento :  nao </t>
  </si>
  <si>
    <t>INC454647T</t>
  </si>
  <si>
    <t>Instabilidade com o sistema, cai de minuto a minuto.</t>
  </si>
  <si>
    <t>Olá,
td bem?
Não temos registros de instabilidade do EBS.
Fizemos testes aqui e está funcionando normalmente.
Como não houve retorno em tempo hábil, o chamado está sendo encerrado.
Att
Equipe EBS</t>
  </si>
  <si>
    <t>INC449325T</t>
  </si>
  <si>
    <t>Olá, tudi bem?
Não estou conseguindo realizar as demandas no EBS, pois está bem lento. Segue erro em anexo
Nome: Eveline
Funcional: 001144317</t>
  </si>
  <si>
    <t>Informamos que as atuações necessárias para a correção da lentidão no Oracle EBS foram concluídas com sucesso. Após ajustes técnicos e otimização de performance realizados no ambiente, o sistema foi restabelecido e encontra-se operando normalmente.
Confirmamos que não há pendências associadas a este ticket e estamos realizando o encerramento deste chamado. Permanecemos à disposição em caso de eventuais dúvidas ou novas solicitações.
Atenciosamente,
Equipe EBS</t>
  </si>
  <si>
    <t>INC443661T</t>
  </si>
  <si>
    <t>Boa tarde, tudo bem?
Identificamos que  um arquivo enviado com o método de pagamento boleto subiu para a finnet com o método concessionária, neste caso gostaríamos de entender e identificar o motivo de alteração do método de pagamento no arquivo enviado e recebido pela finnet.
Envio as informações referente ao caso:
EMPRESA 
MUNICIPIO DE GUARULHOS 
BOLETO BANCÁRIO - 16:21
RN_SANTANDER_BOLETO_D0_GP-02-JUN-2026 16:20:05
02/06/26
NF 2872188 
NF 28721882
MUNICIPIO DE GUARULHOS
CONCESSIONARIA - 17:14
RN_SANTANDER_CONCE_D0_GP.02.06.26.3
NF 2872188
MUNICIPIO DE GUARULHOS
CONCESSIONARIA - 17:25
RN_SANTANDER_CONCE_D0_GP.02.06.26.4
NF 28721882</t>
  </si>
  <si>
    <t>Identificamos a situação relatada referente à alteração do método de pagamento no envio dos arquivos para a Finnet, envolvendo a Empresa  e o Município de Guarulhos.
Após análise do processo, constatamos que o arquivo enviado inicialmente às 16:21 (RN_SANTANDER_BOLETO_D0_GP-02-JUN-2026 16:20:05), contendo as Notas Fiscais 2872188 e 28721882 sob a modalidade de boleto bancário, passou pelo direcionamento automático de procedimento. Como o beneficiário é uma entidade municipal (Município de Guarulhos), o sistema realiza a classificação adequada para a modalidade de Concessionária.
Em razão disso, foram gerados e processados com sucesso os arquivos correspondentes às 17:14 (RN_SANTANDER_CONCE_D0_GP.02.06.26.3 para a NF 2872188) e às 17:25 (RN_SANTANDER_CONCE_D0_GP.02.06.26.4 para a NF 28721882), ambos no método Concessionária.
Confirmamos a conclusão bem-sucedida do processo e a inexistência de pendências. Desta forma, prosseguiremos com o encerramento deste chamado. Continuamos à disposição para quaisquer esclarecimentos.
Atenciosamente,
Equipe EBS</t>
  </si>
  <si>
    <t>INC449321T</t>
  </si>
  <si>
    <t>Oracle Logo
Error Page
Exception Details.
oracle.apps.fnd.framework.OAException: java.sql.SQLException: ORA-20100: FND_FILE não conseguir gravar o arquivo file l0002515347.tmp.
Ocorreu um erro do sistema operacional durante a operação de gravação.
Entre em contato com o administrador do sistema. (TEMP_DIR=/fs/sistemas/EBS12/ebsprd/appltier/tmp/shared)
ORA-06512: em "APPS.FND_FILE", line 367
ORA-06512: em "APPS.FND_FILE", line 421
ORA-06512: em "APPS.IBY_FD_USER_API_PUB", line 682
ORA-06512: em "APPS.IBY_FD_USER_API_PUB", line 325
ORA-06512: em "APPS.AP_PAYMENT_UTIL_PKG", line 954
ORA-06512: em line 1
 at oracle.apps.fnd.framework.OAException.wrapperInvocationTargetException(OAException.java:998)
 at oracle.apps.fnd.framework.server.OAUtility.invokeMethod(Unknown Source)
 at oracle.apps.fnd.framework.server.OAUtility.invokeMethod(Unknown Source)
 at oracle.apps.fnd.framework.server.OAApplicationModuleImpl.invokeMethod(OAApplicationModuleImpl.java:788)
 at oracle.apps.ap.payments.psr.webui.PsrCO.processFormRequest(PsrCO.java:253)
 at oracle.apps.fnd.framework.webui.OAWebBeanHelper.processFormRequest(OAWebBeanHelper.java:967)
 at oracle.apps.fnd.framework.webui.OAWebBeanContainerHelper.processFormRequest(OAWebBeanContainerHelper.java:424)
 at oracle.apps.fnd.framework.webui.OAPageLayoutHelper.processFormRequest(OAPageLayoutHelper.java:1972)
 at oracle.apps.fnd.framework.webui.beans.layout.OAPageLayoutBean.processFormRequest(OAPageLayoutBean.java:1598)
 at oracle.apps.fnd.framework.webui.OAWebBeanHelper.processFormRequestChildren(OAWebBeanHelper.java:1179)
 at oracle.apps.fnd.framework.webui.OAWebBeanHelper.processFormRequestChildren(OAWebBeanHelper.java:1145)
 at oracle.apps.fnd.framework.webui.OAWebBeanHelper.processFormRequest(OAWebBeanHelper.java:1000)
 at oracle.apps.fnd.framework.webui.OAWebBeanContainerHelper.processFormRequest(OAWebBeanContainerHelper.java:424)
 at oracle.apps.fnd.framework.webui.beans.form.OAFormBean.processFormRequest(Unknown Source)
 at oracle.apps.fnd.framework.webui.OAWebBeanHelper.processFormRequestChildren(OAWebBeanHelper.java:1179)
 at oracle.apps.fnd.framework.webui.OAWebBeanHelper.processFormRequestChildren(OAWebBeanHelper.java:1145)
 at oracle.apps.fnd.framework.webui.OAWebBeanHelper.processFormRequest(OAWebBeanHelper.java:1000)
 at oracle.apps.fnd.framework.webui.OAWebBeanContainerHelper.processFormRequest(OAWebBeanContainerHelper.java:424)
 at oracle.apps.fnd.framework.webui.beans.OABodyBean.processFormRequest(OABodyBean.java:363)
 at oracle.apps.fnd.framework.webui.OAPageBean.processFormRequest(OAPageBean.java:3736)
 at oracle.apps.fnd.framework.webui.OAPageBean.preparePage(OAPageBean.java:2194)
 at oracle.apps.fnd.framework.webui.OAPageBean.preparePage(OAPageBean.java:596)
 at oracle.apps.fnd.framework.webui.OAPageBean.preparePage(OAPageBean.java:487)
 at _pages.__oa._jspService(__oa.java:233)
 at weblogic.servlet.jsp.JspBase.service(JspBase.java:34)
 at weblogic.servlet.internal.StubSecurityHelper$ServletServiceAction.run(StubSecurityHelper.java:227)
 at weblogic.servlet.internal.StubSecurityHelper.invokeServlet(StubSecurityHelper.java:125)
 at weblogic.servlet.internal.ServletStubImpl.execute(ServletStubImpl.java:301)
 at weblogic.servlet.internal.TailFilter.doFilter(TailFilter.java:26)
 at weblogic.servlet.internal.FilterChainImpl.doFilter(FilterChainImpl.java:60)
 at oracle.apps.fnd.security.csrf.GuardFilter.doFilter(GuardFilter.java:275)
 at weblogic.servlet.internal.FilterChainImpl.doFilter(FilterChainImpl.java:60)
 at oracle.apps.fnd.security.WLFilter.doFilter(WLFilter.java:182)
 at weblogic.servlet.internal.FilterChainImpl.doFilter(FilterChainImpl.java:60)
 at oracle.apps.jtf.cabo.interceptor.JTFWrapperFilter.doFilter(JTFWrapperFilter.java:151)
 at weblogic.servlet.internal.FilterChainImpl.doFilter(FilterChainImpl.java:60)
 at oracle.apps.jtf.base.session.ReleaseResFilter.doFilter(Unknown Source)
 at weblogic.servlet.internal.FilterChainImpl.doFilter(FilterChainImpl.java:60)
 at oracle.apps.fnd.security.AppsServletFilter.doFilter(AppsServletFilter.java:504)
 at weblogic.servlet.internal.FilterChainImpl.doFilter(FilterChainImpl.java:60)
 at oracle.security.jps.ee.http.JpsAbsFilter$1.run(JpsAbsFilter.java:138)
 at java.security.AccessController.doPrivileged(Native Method)
 at oracle.security.jps.util.JpsSubject.doAsPrivileged(JpsSubject.java:324)
 at oracle.security.jps.ee.util.JpsPlatformUtil.runJaasMode(JpsPlatformUtil.java:464)
 at oracle.security.jps.ee.http.JpsAbsFilter.runJaasMode(JpsAbsFilter.java:121)
 at oracle.security.jps.ee.http.JpsAbsFilter.doFilter(JpsAbsFilter.java:211)
 at oracle.security.jps.ee.http.JpsFilter.doFilter(JpsFilter.java:71)
 at weblogic.servlet.internal.FilterChainImpl.doFilter(FilterChainImpl.java:60)
 at oracle.dms.servlet.DMSServletFilter.doFilter(DMSServletFilter.java:163)
 at weblogic.servlet.internal.FilterChainImpl.doFilter(FilterChainImpl.java:60)
 at weblogic.servlet.internal.WebAppServletContext$ServletInvocationAction.wrapRun(WebAppServletContext.java:3751)
 at weblogic.servlet.internal.WebAppServletContext$ServletInvocationAction.run(WebAppServletContext.java:3717)
 at weblogic.security.acl.internal.AuthenticatedSubject.doAs(AuthenticatedSubject.java:321)
 at weblogic.security.service.SecurityManager.runAs(SecurityManager.java:120)
 at weblogic.servlet.internal.WebAppServletContext.securedExecute(WebAppServletContext.java:2286)
 at weblogic.servlet.internal.WebAppServletContext.execute(WebAppServletContext.java:2185)
 at weblogic.servlet.internal.ServletRequestImpl.run(ServletRequestImpl.java:1499)
 at weblogic.work.ExecuteThread.execute(ExecuteThread.java:263)
 at weblogic.work.ExecuteThread.run(ExecuteThread.java:221)
## Detail 0 ##
java.sql.SQLException: ORA-20100: FND_FILE não conseguir gravar o arquivo file l0002515347.tmp.
Ocorreu um erro do sistema operacional durante a operação de gravação.
Entre em contato com o administrador do sistema. (TEMP_DIR=/fs/sistemas/EBS12/ebsprd/appltier/tmp/shared)
ORA-06512: em "APPS.FND_FILE", line 367
ORA-06512: em "APPS.FND_FILE", line 421
ORA-06512: em "APPS.IBY_FD_USER_API_PUB", line 682
ORA-06512: em "APPS.IBY_FD_USER_API_PUB", line 325
ORA-06512: em "APPS.AP_PAYMENT_UTIL_PKG", line 954
ORA-06512: em line 1
 at oracle.jdbc.driver.T4CTTIoer.processError(T4CTTIoer.java:462)
 at oracle.jdbc.driver.T4CTTIoer.processError(T4CTTIoer.java:405)
 at oracle.jdbc.driver.T4C8Oall.processError(T4C8Oall.java:931)
 at oracle.jdbc.driver.T4CTTIfun.receive(T4CTTIfun.java:481)
 at oracle.jdbc.driver.T4CTTIfun.doRPC(T4CTTIfun.java:205)
 at oracle.jdbc.driver.T4C8Oall.doOALL(T4C8Oall.java:548)
 at oracle.jdbc.driver.T4CCallableStatement.doOall8(T4CCallableStatement.java:213)
 at oracle.jdbc.driver.T4CCallableStatement.executeForRows(T4CCallableStatement.java:1111)
 at oracle.jdbc.driver.OracleStatement.doExecuteWithTimeout(OracleStatement.java:1488)
 at oracle.jdbc.driver.OraclePreparedStatement.executeInternal(OraclePreparedStatement.java:3769)
 at oracle.jdbc.driver.OraclePreparedStatement.execute(OraclePreparedStatement.java:3954)
 at oracle.jdbc.driver.OracleCallableStatement.execute(OracleCallableStatement.java:9353)
 at oracle.jdbc.driver.OraclePreparedStatementWrapper.execute(OraclePreparedStatementWrapper.java:1539)
 at weblogic.jdbc.wrapper.PreparedStatement.execute(PreparedStatement.java:99)
 at oracle.apps.ap.payments.psr.server.PsrAMImpl.validateMethodPpp(PsrAMImpl.java:685)
 at oracle.apps.ap.payments.psr.server.PsrAMImpl.validatePsr(PsrAMImpl.java:642)
 at oracle.apps.ap.payments.psr.server.PsrAMImpl.submitPsr(PsrAMImpl.java:738)
 at sun.reflect.NativeMethodAccessorImpl.invoke0(Native Method)
 at sun.reflect.NativeMethodAccessorImpl.invoke(NativeMethodAccessorImpl.java:57)
 at sun.reflect.DelegatingMethodAccessorImpl.invoke(DelegatingMethodAccessorImpl.java:43)
 at java.lang.reflect.Method.invoke(Method.java:606)
 at oracle.apps.fnd.framework.server.OAUtility.invokeMethod(Unknown Source)
 at oracle.apps.fnd.framework.server.OAUtility.invokeMethod(Unknown Source)
 at oracle.apps.fnd.framework.server.OAApplicationModuleImpl.invokeMethod(OAApplicationModuleImpl.java:788)
 at oracle.apps.ap.payments.psr.webui.PsrCO.processFormRequest(PsrCO.java:253)
 at oracle.apps.fnd.framework.webui.OAWebBeanHelper.processFormRequest(OAWebBeanHelper.java:967)
 at oracle.apps.fnd.framework.webui.OAWebBeanContainerHelper.processFormRequest(OAWebBeanContainerHelper.java:424)
 at oracle.apps.fnd.framework.webui.OAPageLayoutHelper.processFormRequest(OAPageLayoutHelper.java:1972)
 at oracle.apps.fnd.framework.webui.beans.layout.OAPageLayoutBean.processFormRequest(OAPageLayoutBean.java:1598)
 at oracle.apps.fnd.framework.webui.OAWebBeanHelper.processFormRequestChildren(OAWebBeanHelper.java:1179)
 at oracle.apps.fnd.framework.webui.OAWebBeanHelper.processFormRequestChildren(OAWebBeanHelper.java:1145)
 at oracle.apps.fnd.framework.webui.OAWebBeanHelper.processFormRequest(OAWebBeanHelper.java:1000)
 at oracle.apps.fnd.framework.webui.OAWebBeanContainerHelper.processFormRequest(OAWebBeanContainerHelper.java:424)
 at oracle.apps.fnd.framework.webui.beans.form.OAFormBean.processFormRequest(Unknown Source)
 at oracle.apps.fnd.framework.webui.OAWebBeanHelper.processFormRequestChildren(OAWebBeanHelper.java:1179)
 at oracle.apps.fnd.framework.webui.OAWebBeanHelper.processFormRequestChildren(OAWebBeanHelper.java:1145)
 at oracle.apps.fnd.framework.webui.OAWebBeanHelper.processFormRequest(OAWebBeanHelper.java:1000)
 at oracle.apps.fnd.framework.webui.OAWebBeanContainerHelper.processFormRequest(OAWebBeanContainerHelper.java:424)
 at oracle.apps.fnd.framework.webui.beans.OABodyBean.processFormRequest(OABodyBean.java:363)
 at oracle.apps.fnd.framework.webui.OAPageBean.processFormRequest(OAPageBean.java:3736)
 at oracle.apps.fnd.framework.webui.OAPageBean.preparePage(OAPageBean.java:2194)
 at oracle.apps.fnd.framework.webui.OAPageBean.preparePage(OAPageBean.java:596)
 at oracle.apps.fnd.framework.webui.OAPageBean.preparePage(OAPageBean.java:487)
 at _pages.__oa._jspService(__oa.java:233)
 at weblogic.servlet.jsp.JspBase.service(JspBase.java:34)
 at weblogic.servlet.internal.StubSecurityHelper$ServletServiceAction.run(StubSecurityHelper.java:227)
 at weblogic.servlet.internal.StubSecurityHelper.invokeServlet(StubSecurityHelper.java:125)
 at weblogic.servlet.internal.ServletStubImpl.execute(ServletStubImpl.java:301)
 at weblogic.servlet.internal.TailFilter.doFilter(TailFilter.java:26)
 at weblogic.servlet.internal.FilterChainImpl.doFilter(FilterChainImpl.java:60)
 at oracle.apps.fnd.security.csrf.GuardFilter.doFilter(GuardFilter.java:275)
 at weblogic.servlet.internal.FilterChainImpl.doFilter(FilterChainImpl.java:60)
 at oracle.apps.fnd.security.WLFilter.doFilter(WLFilter.java:182)
 at weblogic.servlet.internal.FilterChainImpl.doFilter(FilterChainImpl.java:60)
 at oracle.apps.jtf.cabo.interceptor.JTFWrapperFilter.doFilter(JTFWrapperFilter.java:151)
 at weblogic.servlet.internal.FilterChainImpl.doFilter(FilterChainImpl.java:60)
 at oracle.apps.jtf.base.session.ReleaseResFilter.doFilter(Unknown Source)
 at weblogic.servlet.internal.FilterChainImpl.doFilter(FilterChainImpl.java:60)
 at oracle.apps.fnd.security.AppsServletFilter.doFilter(AppsServletFilter.java:504)
 at weblogic.servlet.internal.FilterChainImpl.doFilter(FilterChainImpl.java:60)
 at oracle.security.jps.ee.http.JpsAbsFilter$1.run(JpsAbsFilter.java:138)
 at java.security.AccessController.doPrivileged(Native Method)
 at oracle.security.jps.util.JpsSubject.doAsPrivileged(JpsSubject.java:324)
 at oracle.security.jps.ee.util.JpsPlatformUtil.runJaasMode(JpsPlatformUtil.java:464)
 at oracle.security.jps.ee.http.JpsAbsFilter.runJaasMode(JpsAbsFilter.java:121)
 at oracle.security.jps.ee.http.JpsAbsFilter.doFilter(JpsAbsFilter.java:211)
 at oracle.security.jps.ee.http.JpsFilter.doFilter(JpsFilter.java:71)
 at weblogic.servlet.internal.FilterChainImpl.doFilter(FilterChainImpl.java:60)
 at oracle.dms.servlet.DMSServletFilter.doFilter(DMSServletFilter.java:163)
 at weblogic.servlet.internal.FilterChainImpl.doFilter(FilterChainImpl.java:60)
 at weblogic.servlet.internal.WebAppServletContext$ServletInvocationAction.wrapRun(WebAppServletContext.java:3751)
 at weblogic.servlet.internal.WebAppServletContext$ServletInvocationAction.run(WebAppServletContext.java:3717)
 at weblogic.security.acl.internal.AuthenticatedSubject.doAs(AuthenticatedSubject.java:321)
 at weblogic.security.service.SecurityManager.runAs(SecurityManager.java:120)
 at weblogic.servlet.internal.WebAppServletContext.securedExecute(WebAppServletContext.java:2286)
 at weblogic.servlet.internal.WebAppServletContext.execute(WebAppServletContext.java:2185)
 at weblogic.servlet.internal.ServletRequestImpl.run(ServletRequestImpl.java:1499)
 at weblogic.work.ExecuteThread.execute(ExecuteThread.java:263)
 at weblogic.work.ExecuteThread.run(ExecuteThread.java:221)
java.sql.SQLException: ORA-20100: FND_FILE não conseguir gravar o arquivo file l0002515347.tmp.
Ocorreu um erro do sistema operacional durante a operação de gravação.
Entre em contato com o administrador do sistema. (TEMP_DIR=/fs/sistemas/EBS12/ebsprd/appltier/tmp/shared)
ORA-06512: em "APPS.FND_FILE", line 367
ORA-06512: em "APPS.FND_FILE", line 421
ORA-06512: em "APPS.IBY_FD_USER_API_PUB", line 682
ORA-06512: em "APPS.IBY_FD_USER_API_PUB", line 325
ORA-06512: em "APPS.AP_PAYMENT_UTIL_PKG", line 954
ORA-06512: em line 1
 at oracle.jdbc.driver.T4CTTIoer.processError(T4CTTIoer.java:462)
 at oracle.jdbc.driver.T4CTTIoer.processError(T4CTTIoer.java:405)
 at oracle.jdbc.driver.T4C8Oall.processError(T4C8Oall.java:931)
 at oracle.jdbc.driver.T4CTTIfun.receive(T4CTTIfun.java:481)
 at oracle.jdbc.driver.T4CTTIfun.doRPC(T4CTTIfun.java:205)
 at oracle.jdbc.driver.T4C8Oall.doOALL(T4C8Oall.java:548)
 at oracle.jdbc.driver.T4CCallableStatement.doOall8(T4CCallableStatement.java:213)
 at oracle.jdbc.driver.T4CCallableStatement.executeForRows(T4CCallableStatement.java:1111)
 at oracle.jdbc.driver.OracleStatement.doExecuteWithTimeout(OracleStatement.java:1488)
 at oracle.jdbc.driver.OraclePreparedStatement.executeInternal(OraclePreparedStatement.java:3769)
 at oracle.jdbc.driver.OraclePreparedStatement.execute(OraclePreparedStatement.java:3954)
 at oracle.jdbc.driver.OracleCallableStatement.execute(OracleCallableStatement.java:9353)
 at oracle.jdbc.driver.OraclePreparedStatementWrapper.execute(OraclePreparedStatementWrapper.java:1539)
 at weblogic.jdbc.wrapper.PreparedStatement.execute(PreparedStatement.java:99)
 at oracle.apps.ap.payments.psr.server.PsrAMImpl.validateMethodPpp(PsrAMImpl.java:685)
 at oracle.apps.ap.payments.psr.server.PsrAMImpl.validatePsr(PsrAMImpl.java:642)
 at oracle.apps.ap.payments.psr.server.PsrAMImpl.submitPsr(PsrAMImpl.java:738)
 at sun.reflect.NativeMethodAccessorImpl.invoke0(Native Method)
 at sun.reflect.NativeMethodAccessorImpl.invoke(NativeMethodAccessorImpl.java:57)
 at sun.reflect.DelegatingMethodAccessorImpl.invoke(DelegatingMethodAccessorImpl.java:43)
 at java.lang.reflect.Method.invoke(Method.java:606)
 at oracle.apps.fnd.framework.server.OAUtility.invokeMethod(Unknown Source)
 at oracle.apps.fnd.framework.server.OAUtility.invokeMethod(Unknown Source)
 at oracle.apps.fnd.framework.server.OAApplicationModuleImpl.invokeMethod(OAApplicationModuleImpl.java:788)
 at oracle.apps.ap.payments.psr.webui.PsrCO.processFormRequest(PsrCO.java:253)
 at oracle.apps.fnd.framework.webui.OAWebBeanHelper.processFormRequest(OAWebBeanHelper.java:967)
 at oracle.apps.fnd.framework.webui.OAWebBeanContainerHelper.processFormRequest(OAWebBeanContainerHelper.java:424)
 at oracle.apps.fnd.framework.webui.OAPageLayoutHelper.processFormRequest(OAPageLayoutHelper.java:1972)
 at oracle.apps.fnd.framework.webui.beans.layout.OAPageLayoutBean.processFormRequest(OAPageLayoutBean.java:1598)
 at oracle.apps.fnd.framework.webui.OAWebBeanHelper.processFormRequestChildren(OAWebBeanHelper.java:1179)
 at oracle.apps.fnd.framework.webui.OAWebBeanHelper.processFormRequestChildren(OAWebBeanHelper.java:1145)
 at oracle.apps.fnd.framework.webui.OAWebBeanHelper.processFormRequest(OAWebBeanHelper.java:1000)
 at oracle.apps.fnd.framework.webui.OAWebBeanContainerHelper.processFormRequest(OAWebBeanContainerHelper.java:424)
 at oracle.apps.fnd.framework.webui.beans.form.OAFormBean.processFormRequest(Unknown Source)
 at oracle.apps.fnd.framework.webui.OAWebBeanHelper.processFormRequestChildren(OAWebBeanHelper.java:1179)
 at oracle.apps.fnd.framework.webui.OAWebBeanHelper.processFormRequestChildren(OAWebBeanHelper.java:1145)
 at oracle.apps.fnd.framework.webui.OAWebBeanHelper.processFormRequest(OAWebBeanHelper.java:1000)
 at oracle.apps.fnd.framework.webui.OAWebBeanContainerHelper.processFormRequest(OAWebBeanContainerHelper.java:424)
 at oracle.apps.fnd.framework.webui.beans.OABodyBean.processFormRequest(OABodyBean.java:363)
 at oracle.apps.fnd.framework.webui.OAPageBean.processFormRequest(OAPageBean.java:3736)
 at oracle.apps.fnd.framework.webui.OAPageBean.preparePage(OAPageBean.java:2194)
 at oracle.apps.fnd.framework.webui.OAPageBean.preparePage(OAPageBean.java:596)
 at oracle.apps.fnd.framework.webui.OAPageBean.preparePage(OAPageBean.java:487)
 at _pages.__oa._jspService(__oa.java:233)
 at weblogic.servlet.jsp.JspBase.service(JspBase.java:34)
 at weblogic.servlet.internal.StubSecurityHelper$ServletServiceAction.run(StubSecurityHelper.java:227)
 at weblogic.servlet.internal.StubSecurityHelper.invokeServlet(StubSecurityHelper.java:125)
 at weblogic.servlet.internal.ServletStubImpl.execute(ServletStubImpl.java:301)
 at weblogic.servlet.internal.TailFilter.doFilter(TailFilter.java:26)
 at weblogic.servlet.internal.FilterChainImpl.doFilter(FilterChainImpl.java:60)
 at oracle.apps.fnd.security.csrf.GuardFilter.doFilter(GuardFilter.java:275)
 at weblogic.servlet.internal.FilterChainImpl.doFilter(FilterChainImpl.java:60)
 at oracle.apps.fnd.security.WLFilter.doFilter(WLFilter.java:182)
 at weblogic.servlet.internal.FilterChainImpl.doFilter(FilterChainImpl.java:60)
 at oracle.apps.jtf.cabo.interceptor.JTFWrapperFilter.doFilter(JTFWrapperFilter.java:151)
 at weblogic.servlet.internal.FilterChainImpl.doFilter(FilterChainImpl.java:60)
 at oracle.apps.jtf.base.session.ReleaseResFilter.doFilter(Unknown Source)
 at weblogic.servlet.internal.FilterChainImpl.doFilter(FilterChainImpl.java:60)
 at oracle.apps.fnd.security.AppsServletFilter.doFilter(AppsServletFilter.java:504)
 at weblogic.servlet.internal.FilterChainImpl.doFilter(FilterChainImpl.java:60)
 at oracle.security.jps.ee.http.JpsAbsFilter$1.run(JpsAbsFilter.java:138)
 at java.security.AccessController.doPrivileged(Native Method)
 at oracle.security.jps.util.JpsSubject.doAsPrivileged(JpsSubject.java:324)
 at oracle.security.jps.ee.util.JpsPlatformUtil.runJaasMode(JpsPlatformUtil.java:464)
 at oracle.security.jps.ee.http.JpsAbsFilter.runJaasMode(JpsAbsFilter.java:121)
 at oracle.security.jps.ee.http.JpsAbsFilter.doFilter(JpsAbsFilter.java:211)
 at oracle.security.jps.ee.http.JpsFilter.doFilter(JpsFilter.java:71)
 at weblogic.servlet.internal.FilterChainImpl.doFilter(FilterChainImpl.java:60)
 at oracle.dms.servlet.DMSServletFilter.doFilter(DMSServletFilter.java:163)
 at weblogic.servlet.internal.FilterChainImpl.doFilter(FilterChainImpl.java:60)
 at weblogic.servlet.internal.WebAppServletContext$ServletInvocationAction.wrapRun(WebAppServletContext.java:3751)
 at weblogic.servlet.internal.WebAppServletContext$ServletInvocationAction.run(WebAppServletContext.java:3717)
 at weblogic.security.acl.internal.AuthenticatedSubject.doAs(AuthenticatedSubject.java:321)
 at weblogic.security.service.SecurityManager.runAs(SecurityManager.java:120)
 at weblogic.servlet.internal.WebAppServletContext.securedExecute(WebAppServletContext.java:2286)
 at weblogic.servlet.internal.WebAppServletContext.execute(WebAppServletContext.java:2185)
 at weblogic.servlet.internal.ServletRequestImpl.run(ServletRequestImpl.java:1499)
 at weblogic.work.ExecuteThread.execute(ExecuteThread.java:263)
 at weblogic.work.ExecuteThread.run(ExecuteThread.java:221)
Copyright (c) 1998, 2023, Oracle e/ou suas empresas afiliadas. Todos os direitos reservados.</t>
  </si>
  <si>
    <t xml:space="preserve">'- [ ] Qual é o incidente:  erro ao gerar lote de pagaemnto
Error Page
Exception Details.
oracle.apps.fnd.framework.OAException: java.sql.SQLException: ORA-20100: FND_FILE não conseguir gravar o arquivo file l0002515347.tmp.
Ocorreu um erro do sistema operacional durante a operação de gravação.
Entre em contato com o administrador do sistema. (TEMP_DIR=/fs/sistemas/EBS12/ebsprd/appltier/tmp/shared)
- [ ] Porque aconteceu:  erro de Infra
- [ ] Tratativa do incidente:  será direcionado para equipe de Infra, vimos em chamados anteriores que tinha um processo  programado que limpava os arquivos temporários, solicitado que seja visto se teve novo ajuste
- [ ] Cabe Causa Raiz:  nao
- [ ] Cabe Melhoria: nao 
- [ ] Cabe treinamento :  nao </t>
  </si>
  <si>
    <t>INC457282T</t>
  </si>
  <si>
    <t>olá, sou de cadastro, solicito a descaracterização do CPF colocando (00) no cadastro do ex-colaborador CARLOS HENRIQUE BAPTISTA DINIZ,  para que o pessoal do ATENDIMENTO AO CLIENTE CSC possa criar o cadastro de cliente.</t>
  </si>
  <si>
    <t>cadastro esta com cpf cadastrado como funcionario</t>
  </si>
  <si>
    <t>INC457780T</t>
  </si>
  <si>
    <t>Favor verificar notas _1933286 e _1933467 pois ambos não estao validando em sistema e ao rodar o concorrente criar contas, não aparenta nenhum erro.</t>
  </si>
  <si>
    <t>Informamos que foi realizada a verificação das notas _1933286 e _1933467. Após análise, o programa concorrente de criação de contas foi executado com sucesso e sem apresentar erros. Confirmamos que as contas foram geradas e as notas encontram-se devidamente processadas e validadas no sistema.
Visto que o processamento foi concluído com sucesso e não constam pendências, estamos procedendo com o encerramento deste chamado. Permanecemos à disposição caso surjam novas dúvidas ou necessidade de suporte futuro.
Atenciosamente,
Equipe EBS</t>
  </si>
  <si>
    <t>INC453144T</t>
  </si>
  <si>
    <t>bom dia, tudo bem?
Poderiam verificar por qual motivo, alguns boletos em DDA aparecem no relatório e outros não puxam.</t>
  </si>
  <si>
    <t>Informamos que as verificações sobre a exibição dos boletos de DDA no relatório foram concluídas. Foi identificado que a ausência de alguns documentos ocorria devido a questões de procedimento na parametrização de busca, as quais já foram esclarecidas. Confirmamos que os relatórios estão sendo gerados de forma correta e que não há pendências em aberto. Diante disso, estamos realizando o encerramento deste atendimento. Permanecemos à disposição para suporte futuro.
Atenciosamente,
Equipe EBS</t>
  </si>
  <si>
    <t>INC453959T</t>
  </si>
  <si>
    <t>Favor verificar nota 14074 do fornecedor  TRULY NOLEN DO SUL SERVICOS DE IMUNIZACAO LTDA pois mesmo constando a retenção do imposto  de IRRF no valor de R$ 39,48 no RI a informação da retenção do mesmo não consta no razão do GL conforme informado pelo time de csc Fiscal.</t>
  </si>
  <si>
    <t>Boa tarde, tudo bem!
Informamos que foram realizadas as verificações e os ajustes necessários referentes à nota fiscal 14074 do fornecedor TRULY NOLEN DO SUL SERVICOS DE IMUNIZACAO LTDA.
Foi observado que a retenção do imposto de IRRF no valor de R$ 39,48, embora constasse no RI, não estava refletida no razão do GL. Com os ajustes efetuados, solicitamos que realize uma nova validação para confirmar a regularização do lançamento.
Como não houve retorno em tempo hábil, o chamado está sendo encerrado.
Atenciosamente,
Equipe EBS</t>
  </si>
  <si>
    <t>INC453450T</t>
  </si>
  <si>
    <t>fornecedor não aparece no notamax para envio de nota BBC STUDIOS AMERICAS - GB333289454, mesmo vinculado para remessa.</t>
  </si>
  <si>
    <t xml:space="preserve">'- [ ] Qual é o incidente: nao aparece fornecedor, mostra ,mensagem de erro , fornecedor sem remessa
- [ ] Porque aconteceu:  fata de configuração no cliente
- [ ] Tratativa do incidente: eles estão tentando fazer uma ordem para um pais diferente,  que não está cadastrado na parte de endereços pra remessa
- [ ] Cabe Causa Raiz:  nao
- [ ] Cabe Melhoria: nao 
- [ ] Cabe treinamento :  nao </t>
  </si>
  <si>
    <t>INC454927T</t>
  </si>
  <si>
    <t>Boa tarde, tudo bem? Abro esse chamado em relação ao Balancete Contas a Pagar - Argentina. Pois nos pagamentos com a moeda origem DOLAR, fica uma sujeira de alguns centavos (mesmo quando a NF está totalmente paga), tanto no relatório como na contabilidade.  Encaminho os parâmetros de extração e também o relatório filtrado com exemplos. 
OBS: o Saldo contábil está de acordo com o relatório, ou seja, a contabilização está ocorrendo com essas pequenas diferenças também.</t>
  </si>
  <si>
    <t>Rafael</t>
  </si>
  <si>
    <t>Olá @[Rafael Maciel de Castro],
Foi aberto o chamado de causa raiz PRB0059485 para que as análises e correções possam ser feitas dentro do prazo.
Favor acompanhar a tratativa.
Att.
Equipe EBS</t>
  </si>
  <si>
    <t>INC454076T</t>
  </si>
  <si>
    <t>Favor verificar nota 42549     fornecedor RENIER S A pois a mesma não esta integrando pro AP com erro de "Local do fornecedor inválido"</t>
  </si>
  <si>
    <t>Boa tarde, tudo bem!
Após verificação nas tabelas de interface e de cadastro, foi identificado que a nota fiscal 42549 do fornecedor RENIER S A não integrou para o AP devido ao fato de o local do fornecedor estar inativo no sistema.
Por se tratar de um procedimento de cadastro, orientamos que seja solicitada a reativação ou atualização do local do fornecedor diretamente com a equipe de Cadastro.
Assim que a situação cadastral for regularizada, solicitamos que realize uma nova tentativa de integração para validação.
Como não houve retorno em tempo hábil, o chamado está sendo encerrado.
Att.
Equipe EBS</t>
  </si>
  <si>
    <t>INC455808T</t>
  </si>
  <si>
    <t>Olá, tudo bem? 
Estamos com erro ao tentar gerar os concorrentes de integração Dootax. 
Concorrente: XXRNER Integracao EBS - DTX  (Salvar Arquivos Pagamentos - 2) 
ID: 102788748</t>
  </si>
  <si>
    <t>Benjamin</t>
  </si>
  <si>
    <t>'- [ ] Qual é o incidente:  erro ao tentar gerar os concorrentes de integração Dootax.
Concorrente: XXRNER Integração EBS - DTX  (Salvar Arquivos Pagamentos - 2) ID: 102788748
- [ ] Porque aconteceu: Erro inesperado ao executar procedimento[xxrner_intgr_ebs_dtx_prc] Integracoes ODI: ORA-20000: Erro ao executar webservice: ODI-1274: Agent Exception
Caused by: oracle.odi.core.security.BadCredentialsException: ODI-10199: Incorrect ODI username or password.
- [ ] Tratativa do incidente:  orientado e Michel esta em reunião com equipe de integrações para verificar senhas/ acessos
- [ ] Cabe Causa Raiz:  nao
- [ ] Cabe Melhoria: nao 
- [ ] Cabe treinamento :  nao</t>
  </si>
  <si>
    <t>INC456440T</t>
  </si>
  <si>
    <t>nota de aviso de crédito, apresentando erro na aprovação;</t>
  </si>
  <si>
    <t xml:space="preserve">'- [ ] Qual é o incidente: nota com erro na regra de aprovação: RN_AP_NOTA_LATAM_APROVADORES
- [ ] Porque aconteceu:  aprovador  com login invalido
- [ ] Tratativa do incidente:  analisado a regra RN_AP_NOTA_LATAM_APROVADORES, nesta consta um atributo preenchido com o login do aprovador, pesquisei e achei que este atributo fica no flexfield do cabeçalho da NF, orientado alterar o aprovador neste campo, ou se for o caso de ser ele mesmo, pois o cadastro do HR esta ativo, solicitar que seja ativado o login . trata-se de uma decisão interna
- [ ] Cabe Causa Raiz:  nao
- [ ] Cabe Melhoria: nao 
- [ ] Cabe treinamento :  nao 
</t>
  </si>
  <si>
    <t>INC457497T</t>
  </si>
  <si>
    <t>Bom dia, tudo bem? O titulo de CCR, REPASSE INTERCOMPANY do dia 20/08 no valor de R$ 653,85, do dia 21/08 no valor de R$ 228,35 e do dia 24/08 no valor de R$ 1.750,63 não integraram no EBS para a empresa Camicado. Poderiam verificar por gentileza? Atenciosamente, CSC Contabilidade.</t>
  </si>
  <si>
    <t xml:space="preserve">'- [ ] Qual é o incidente: notas na interface do AP
- [ ] Porque aconteceu:  nao estava sendo executado o concorrente de importação
- [ ] Tratativa do incidente:  orientado a Luisa do AP executar o concorrente de importação para ver se tinha erro, as notas foram importadas orientado  deixar programado com a origem  CAMICADO TOTVS
- [ ] Cabe Causa Raiz:  nao
- [ ] Cabe Melhoria: nao 
- [ ] Cabe treinamento :  nao 
</t>
  </si>
  <si>
    <t>INC456074T</t>
  </si>
  <si>
    <t>Boa tard,e tudo bem? 
Solicito apoio para tratar do cadastro do seller SANTE COMERCIO DE BIJOUTERIAS E ACESSORIOS LTDA
 - 14.590.427/0001-00. 
A integração entre cadastros está apresentando o seguinte erro: 
1 aviso
root / Fornecedor Raiz: Status: ERROR, Msg: customer: #CREATE_CUST_ACCOUNT#ERR-029-API Criacao cliente VENDOR_ID: 453382 ACCOUNT_NUMBER: 14590427 PARTY_ID: 445998 CUST_ACCOUNT_ID: #Value for account_number must be unique.#
Tanto no comply quando no MDM. 
Fui orientado por Dionisio Ferreira a abrir este chamado. 
Qualquer dúvida estou à disposição. 
Att</t>
  </si>
  <si>
    <t>Juan</t>
  </si>
  <si>
    <t xml:space="preserve">'- [ ] Qual é o incidente: falha ao  carregar fornecedor 
- [ ] Porque aconteceu:  erro nao ocorre no EBS e sim na origem 
- [ ] Tratativa do incidente:  analisado cadastro no EBS esta OK, ao atualizar na origem da erro, foi orientado falar com Mauricio da equipe de cadastro e foi orientado como corrigir
- [ ] Cabe Causa Raiz:  nao
- [ ] Cabe Melhoria: nao 
- [ ] Cabe treinamento :  nao 
</t>
  </si>
  <si>
    <t>INC457035T</t>
  </si>
  <si>
    <t>Olá, tudo bem?
Colaborador(a) entrou em contato relatando dificuldades no EBS.
🔍 Erro identificado:
Colaborador relata que estão tendo o pagamento no modulo AP do oracle (ebs), porém não está passando para o módulo GL, o que faz com que o pagamento fique não registrado. Poderiam analisar?
Notas:
147022 - 147023
147560 - 147561
⚠️ Informações obrigatórias:
Número da sua funcional: 001187792
Número da sua loja: 001 ADM
Telefone para contato (que receba Whatsapp): 55996690925
Segunda opção de contato, caso não esteja disponível: leonardo.so@lojas.com.br
📎Anexado imagem do erro relatado.
Agradecemos o suporte!
Atenciosamente...
Service Desk 💻</t>
  </si>
  <si>
    <t xml:space="preserve">'- [ ] Qual é o incidente: contabilização aparece no AP mas nao aparece no GL
- [ ] Porque aconteceu:  nao temos como afirmar se foi deletado da interface do GL
- [ ] Tratativa do incidente:  rastreado a contabilização no AP a aplicação do adiantamento nao foi localizada no GL
47022 - 147023  Padrão  ELTICOR SOCIEDAD ANONIMA   290.007,00
Nome do Lote  Cuentas a Pagar A 5028065 96968545%    &gt;  ok
Nome do Lançamento  27-ENE-2026 Facturas Compra UYU 
Pagamento Antecipado  ELTICOR SOCIEDAD ANONIMA   12012026   
Despesa Antecipadamente Paga
Nome do Lote  Cuentas a Pagar A 5016268 96247928   &gt; AP. FACT: 12012026 PROV. 214543140019
Nome do Lançamento  05-ENE-2026 Facturas Compra UYU    
Nome do Lote  Cuentas a Pagar E 5016272 96247929  
Nome do Lançamento  05-ENE-2026 Facturas Compra UYU 1060 
-- Aplicação
Aplicado : 290.007,00   29/01/2026
Nome do Lote  Cuentas a Pagar E 5029576 97011762  
Nome do Lançamento  29-ENE-2026 Facturas Compra UYU 1060 
Aplicado : 03/02/2026 00:00:00
Nome do Lote  Contas a Pagar E 5031959 97155146  
Nome do Lançamento  03-FEV-2026 NFFs de Compra UYU 1060 
Aplicado : 04/02/2026 00:00:00
Nome do Lote  Cuentas a Pagar E 5033130 97188956  
Nome do Lançamento  04-FEB-2026 Facturas Compra UYU 1060
orientado lançar aplicação no GL manual e se estiver aparecendo em  aberto no AP abrir chamado para ajuste do balancete
- [ ] Cabe Causa Raiz:  nao
- [ ] Cabe Melhoria: nao 
- [ ] Cabe treinamento :  nao </t>
  </si>
  <si>
    <t>INC458215T</t>
  </si>
  <si>
    <t>Bom dia, tudo bem?
nota está com problema e não conseguimos atualizar  nem enviar para pagamento</t>
  </si>
  <si>
    <t xml:space="preserve">'- [ ] Qual é o incidente: nota nao valida
- [ ] Porque aconteceu:  erro e registro reservado
- [ ] Tratativa do incidente:  orientado sair da aplicação pois sistema reserva registro para o primeiro acesso,
- [ ] Cabe Causa Raiz:  nao
- [ ] Cabe Melhoria: nao 
- [ ] Cabe treinamento :  nao </t>
  </si>
  <si>
    <t>INC455749T</t>
  </si>
  <si>
    <t>Cancelado</t>
  </si>
  <si>
    <t>boa tarde, tudo bem?
Boletos em DDA não estão lendo para o sistema.</t>
  </si>
  <si>
    <t>INC454506T</t>
  </si>
  <si>
    <t>Essa ND integrou no sistema com a seguinte descrição: Sistema Gerado pela Transação 'Retornar ao Fornecedor'.
Porém não conseguimos identificar de onde ela veio e se está correto.</t>
  </si>
  <si>
    <t>INC459498T</t>
  </si>
  <si>
    <t>Favor verificar por qual motivo a nota 4187889 do fornecedor POTTENCIAL SEGURADORA S A não puxou as informações de pagamento no nosso relatorio de notas pagas do EBS. Ao extraimos o relatório ele não puxa nenhuma informação desse pagamento, como se não estivesse sido pago. em anexo esta o relatorio gerado e print da tela de pagamento</t>
  </si>
  <si>
    <t>INC457150T</t>
  </si>
  <si>
    <t>Bom dia, tudo  bem ?
Estamos com problema cpm relação ao relatorio  de Parametros  AP - Relatorio de Anulacoes de Pagamentos, , 01/04/2026, 31/05/2026, , , , ,
ID da solicitação  103162080  Nome DNQ -  Executar consultas dinâmicas.</t>
  </si>
  <si>
    <t>Gabriela</t>
  </si>
  <si>
    <t>INC454292T</t>
  </si>
  <si>
    <t>Alterar para a prioridade 15 com método de pagamento compensação todos os titulos que estejam validados, com valor 0 e nao pagos em sistema.</t>
  </si>
  <si>
    <t>INC456897T</t>
  </si>
  <si>
    <t>Bom dia! Tudo bem?
No "relatório notas fiscais pagas com filial" não consta o status do pagamento "pago" ou "não pago". Tem como incluir? Teria como ter a visão de que a nota foi lançada, mas talvez o pagamento rejeitou e aí poderia constar como "não pago" na coluna status do pagamento. É possível ter uma coluna com o campo "descrição"? Essa informação é importante, pois aparece o número do chamado que a pessoa abriu.
Obrigada.</t>
  </si>
  <si>
    <t>INC454989T</t>
  </si>
  <si>
    <t>Olá, favor verificar referente a nota 144 do fornecedor FIBERSUL FIBRA OPTICA E ACESSORIOS LTDA de 2023 integrou somente agora pro sistema.</t>
  </si>
  <si>
    <t>INC458966T</t>
  </si>
  <si>
    <t>Olá Bom Dia, Tudo bem? 
Poderia verificar pois não consigo extrair o arquivo excel dentro do EBS, ele gera como um arquivo conforme anexo. 
Chapa 186627
Att,</t>
  </si>
  <si>
    <t>INC448927T</t>
  </si>
  <si>
    <t>Olá, tudo bem?
Favor cancelar todos concorrentes que estão na minha funcional de todas as empresas.</t>
  </si>
  <si>
    <t>INC454281T</t>
  </si>
  <si>
    <t>Gostaria de entender por qual motivo nosso relatorio de titulos em aberto não puxa notas com valor zerado, mesmo estando com status em aberto no sistema. Exemplo os casos que foram sinalizados no chamado INC4539685 que são as notas 03062024.1 - 03062024.10 - 03062024.14 que estavam com valor zerado e em aberto no sistema e não apareceu em nenhum de nossos relatorio de notas em aberto, porém aparecem como pendências na contabilidade. Gostaria de saber se há algum outro relatório em sistema que puxa essa informação para termos visualização de tudo que esteja em aberto no sistema, independente do valor da nota.</t>
  </si>
  <si>
    <t>INC454677T</t>
  </si>
  <si>
    <t>EBS - Oracle Account Receivables (AR)</t>
  </si>
  <si>
    <t>Olá, tudo bem?
Colaborador(a) entrou em contato relatando dificuldades [EBS].
🔍 Erro identificado:
Erro ao emitir NF pois o sistema informa que os equipamentos não estão alocados na loja 474. Poderiam verificar, por gentileza?
⚠️ Informações obrigatórias:
EF500RA4LUMRBBB220
EF501RAA4LGWEVBBE487
Número da sua funcional: 001153520
Número da sua loja:474
Telefone para contato (que receba Whatsapp):15996848155
Segunda opção de contato, caso não esteja disponível: 15997584416 Jonathan
📎Anexado imagem do Erro ❗Obrigatório❗
Agradecemos o suporte!
Atenciosamente...
Service Desk 💻</t>
  </si>
  <si>
    <t>Adriely</t>
  </si>
  <si>
    <t>SH ITAPE SHOPPING</t>
  </si>
  <si>
    <t>Olá, chamado encerrado após 03 tentativas de contato.
Att,
Equipe EBS</t>
  </si>
  <si>
    <t>INC453061T</t>
  </si>
  <si>
    <t>Boa tarde, tudo bem?
Segue em anexo razão da conta de receita de vendas Marketplace Camicado, PIS e COFINS a recolher.
Tivemos estorno de diversas ordens, no mês 06/2026, e os cancelamentos efetuados no AR constam no razão da conta de receitas, porém não consta no razão da conta de PIS e COFINS.
Favor verificar, porque não temos o cancelamento também nas contas de PIS E COFINS A RECOLHER.
Atenciosamente,
Jéssica Hilleshain
CSC Fiscal</t>
  </si>
  <si>
    <t>Informamos que a análise referente aos estornos de ordens do mês 06/2026 no módulo de Contas a Receber (AR) foi concluída. Foi verificado que os cancelamentos constam regularmente no razão da conta de receita de vendas do Marketplace Camicado, porém não foram integrados no razão das contas de PIS e COFINS a recolher.
Como as informações de suporte e o razão analisado foram devidamente encaminhados para a equipe responsável pelo fechamento contábil e fiscal dessas contas para os devidos ajustes de conciliação, e não havendo pendências adicionais de nossa parte, estamos procedendo com o encerramento deste chamado.
Permanecemos à disposição para suporte futuro.
Atenciosamente,
Equipe EBS</t>
  </si>
  <si>
    <t>INC443276T</t>
  </si>
  <si>
    <t>Olá,
Boa tarde, tudo bem?
Preciso de uma ajuda para identificar o motivo de não estar trazendo os impostos IBSMUN_NTRIB_CRE e IBSMUN_NTRIB_DEB para ordem em questão?</t>
  </si>
  <si>
    <t>Olá,
Conforme processo de TI, estamos cancelando o chamado após os 03 registros de contato no chamado na qual não tivemos retorno.
Att
Equipe EBS</t>
  </si>
  <si>
    <t>INC455582T</t>
  </si>
  <si>
    <t>Bom dia, tudo bem?
Preciso efetuar o estorno (aviso de crédito), da ordem de serviço 1515587, gerada em 31/07/2026, porém está ocorrendo o erro em anexo.
Poderiam nos auxiliar com o estorno da ordem?
Atenciosamente,
Jéssica Hilleshain
CSC Fiscal</t>
  </si>
  <si>
    <t>Chamado encerrado com a validação da usuária.
Att,
Equipe EBS</t>
  </si>
  <si>
    <t>INC457756T</t>
  </si>
  <si>
    <t>Estou com esses dois concorrentes que não finalizam, um é de uma tentativa de desvincular ordem e o outro é uma tentativa de submeter ordem.
Ambos não rodam.</t>
  </si>
  <si>
    <t>Raiany</t>
  </si>
  <si>
    <t>CENTRO DE DISTRIBUICAO 324</t>
  </si>
  <si>
    <t>Informamos que os processos concorrentes que apresentavam retenção (referentes à desvinculação e à submissão de ordens) foram devidamente finalizados e corrigidos. Após validação, confirmamos que a rotina foi normalizada e não restam pendências. Diante disso, estamos realizando o encerramento deste chamado, permanecendo à disposição para eventuais dúvidas ou novos suportes.
Atenciosamente,
Equipe EBS</t>
  </si>
  <si>
    <t>INC454590T</t>
  </si>
  <si>
    <t>Prezados, tudo bem?
A colaboradora realizou a abertura de um chamado pelo Portal de Soluções referente a um problema no módulo do EBS. Durante o atendimento, foi orientada a abrir uma solicitação para limpeza de histórico de ordens.
Poderiam, por gentileza, verificar a demanda?
Dados da colaboradora:
Matrícula: 001207648
Loja: 107
Telefone para contato (WhatsApp): (11) 93802-7926
Agradecemos o apoio.
Atenciosamente,
 Service Desk 💻</t>
  </si>
  <si>
    <t>Risna</t>
  </si>
  <si>
    <t>SH LIGHT</t>
  </si>
  <si>
    <t>INC449710T</t>
  </si>
  <si>
    <t>EBS - Oracle Contracts Core (OKC)</t>
  </si>
  <si>
    <t>Olá, boa tarde!
Foi atribuido o perfil de aprovador para a usuária Natúria Pellin Arsego (916062). No entanto a mesma não é listada no rol de usuários para a delegação de contratos, poderiam verificar, por favor?</t>
  </si>
  <si>
    <t>Jorge</t>
  </si>
  <si>
    <t>Olá,
Não encontrado Natúria Pellin Arsego  nos cadastro de HR do EBS.
Necessário entrar em contato com o setor de cadastro para a devida regularização.
Para solicitar ajuste do cadastro do colaborador no EBS, por favor abra um chamado no portal CSC conforme abaixo:
https://.service-now.com/esc?id=sc_cat_item&amp;table=sc_cat_item&amp;sys_id=ec48b5561bcff99057b486afe54bcbcc
CSC &gt; Suporte Administrativo &gt; Cadastros &gt; Cadastro do Colaborador
Att.
Equipe EBS</t>
  </si>
  <si>
    <t>Problema ao acessar EBS
Segue o print
Nº de Imobilizado: 700319
Marca:: Lenovo
Modelo:
Número da sua funcional: 126921
Número da sua loja: 483
Telefone para contato (que receba Whatsapp):014 997692748
Horários que podemos entrar em contato: 014 998598282
Realizado teste de limpeza de historicos, mas sem sucesso</t>
  </si>
  <si>
    <t>SH JAU SHOPPING</t>
  </si>
  <si>
    <t>INC444521T</t>
  </si>
  <si>
    <t>EBS - Oracle Fixed Assets (FA)</t>
  </si>
  <si>
    <t>Solicito que verifiquem a categoria (1203011005.COLETOR DE DADOS ANDROID) de coletores de dados, pois não estamos conseguindo contabilizar para criar os ativos devido e o erro em anexo:</t>
  </si>
  <si>
    <t>Ricardo</t>
  </si>
  <si>
    <t>Informamos que a análise e a contabilização da nota fiscal 197307 na fila "DIVIDIR" foram concluídas com sucesso. Foi verificado que o processo de contabilização foi finalizado corretamente, não sendo identificadas inconsistências ou pendências pendentes.
Diante disso, estamos procedendo com o encerramento deste chamado. Permanecemos à disposição para suporte futuro caso necessário.
Atenciosamente,
Equipe EBS</t>
  </si>
  <si>
    <t>INC440735T</t>
  </si>
  <si>
    <t>Bom dia, tudo bem?
Solicito a verificação destas notas que estão sensibilizando no razão do FA, mas não está integrando para o EBS para realizando o processo de imobilização das notas. 
Fornecedor: Mão colorida
Notas: 
41402
41403
41444
41445
41446
41447
41509
41510
41541
41542
Peço prioridade, pois hoje é nosso fechamento mensal.
Obrigada desde já!</t>
  </si>
  <si>
    <t>Sharon</t>
  </si>
  <si>
    <t>Informamos que a integração das notas fiscais mencionadas (41402, 41403, 41444, 41445, 41446, 41447, 41509, 41510, 41541 e 41542) do fornecedor Mão Colorida foi concluída com sucesso no Oracle EBS.
Foi identificado que o processamento foi executado e os valores já estão devidamente sensibilizados no módulo de Ativo Fixo (FA), restabelecendo o fluxo normal para o processo de imobilização e garantindo a conclusão das atividades para o fechamento mensal.
Como a situação foi regularizada e não há pendências adicionais, estamos procedendo com o encerramento deste chamado. Permanecemos à disposição para qualquer suporte futuro necessário.
Atenciosamente,
Equipe EBS</t>
  </si>
  <si>
    <t>INC455136T</t>
  </si>
  <si>
    <t>Olá, tudo bem?
Estou tentando alterar a categoria dos ativos de 1203011005.COLETOR DE DADOS para 1203011005.COLETOR DADOS ANDROID e o sistema não permite, no momento em que vou salvar a atualização ele apresenta o erro da imagem em anexo.
Adicionei na planilha os ativos que estão com o mesmo problema.</t>
  </si>
  <si>
    <t>Jade</t>
  </si>
  <si>
    <t xml:space="preserve">Olá, tudo bem?
Realizamos a análise da solicitação e identificamos que a categoria **1203011005 - COLETOR DADOS ANDROID** encontra-se **inativa** no sistema, motivo pelo qual não é possível realizar a alteração da categoria dos ativos.
Dessa forma, orientamos que seja acionado o **time do CSC Patrimonial**, responsável pela gestão e manutenção do cadastro de categorias de ativos, para que seja avaliada a ativação da categoria ou adotada a tratativa adequada para o cenário.
Com essa orientação, consideramos a demanda atendida e o chamado será encerrado. Permanecemos à disposição caso seja necessário apoio adicional após a atuação da equipe responsável.
Atenciosamente,
Equipe EBS
</t>
  </si>
  <si>
    <t>INC457791T</t>
  </si>
  <si>
    <t>Preciso que seja verificado o concorrente que envia a informação do AP para o modulo FA, pois a nota 00000565 esta devidamente lançada porem não aparece na mesa de adição do FA.</t>
  </si>
  <si>
    <t>INC458652T</t>
  </si>
  <si>
    <t>Prezados, 
Colaborador(a) entra em contato com Service Desk e relata estar com problema, ao tentar fazer uma nota de transferência de Imobilizado no EBS o sistema não está puxando o valor do equipamento. Na consulta no FA consta que o item está na  loja.
❗Informações Obrigatórias: 
EBS
Fazer nota de transferência de Imobilizado
001205297
610
(43)99161-2403
(43)99135-6614
📎Anexado imagem do(a) ❗Obrigatório❗ 
Atenciosamente, Service Desk ☕   
Assistente de TI</t>
  </si>
  <si>
    <t>INC444135T</t>
  </si>
  <si>
    <t>Bom dia! Tudo bem? 
Gostaria de solicitar apoio em análise no ambiente HML do EBS. Não está gerando a contabilização no FA.
Segue print da tela em anexo.
*Obs.: Ambiente de homologação: http://ebscorporativouat.lojas.com.br/OA_HTML/OA.jsp?OAFunc=OANEWHOMEPAGE
Obrigada!</t>
  </si>
  <si>
    <t>Priscilla</t>
  </si>
  <si>
    <t>INC459637T</t>
  </si>
  <si>
    <t>EBS - Oracle General Ledger (GL)</t>
  </si>
  <si>
    <t>Olá, tudo bem?!
Emiti um Livro Razão na data de ontem e hoje na apuração, identifiquei que faltavam alguns lançamentos, hoje tirei um novo relatório e os lançamentos faltantes apareceram. Poderiam verificar o que aconteceu, tendo em vista que iniciamos as apurações no início do mês, e  o relatório refere-se ao mês anterior?</t>
  </si>
  <si>
    <t>INC459135T</t>
  </si>
  <si>
    <t>Olá, tudo bem?
Colaborador(a) entrou em contato relatando dificuldades em baixar arquivos do modulo GL e planejamento. 
🔍 Erro identificado:
Mesmo ativando todas as permissões, validando a versão do java ocorre erro em abrir o arquivo. 
⚠️ Informações obrigatórias:
Número da sua funcional: 001207392
Número da sua loja: ANALISTA PLANEJ E PERFORMANCE DE OPERACOES II
Telefone para contato (que receba Whatsapp): 11988764320
Segunda opção de contato, caso não esteja disponível:
📎Anexado imagem do Erro ❗Obrigatório❗
Agradecemos o suporte!
Atenciosamente...
Service Desk 💻</t>
  </si>
  <si>
    <t>Kamila</t>
  </si>
  <si>
    <t>Configuramos o navegador em call e a usuária conseguiu baixar o arquivo.
Chamado sendo encerrado com a validação.
Att,
Equipe EBS</t>
  </si>
  <si>
    <t>INC451886T</t>
  </si>
  <si>
    <t>Bom dia tudo bem,
Conforme email em anexo estamos com uma diferença no razão referente aos impostos das notas a qual abrimos o chamado INC4407354 referente ao problema de integração para a mesa do FA. Porem foi efetuado todo o processo mais as linhas do mês de maio estão divergente, pois o lançamento original de maio integrou na transitória sem o valor dos impostos e a reversão foi realizada com o valor total da nota neste caso fica com essa divergência nos valores referente ao IPI.</t>
  </si>
  <si>
    <t>Informamos que a análise do chamado INC4407354, referente à divergência de impostos na integração para o módulo FA, foi concluída.
Foi identificado que, devido a uma inconsistência na parametrização do cadastro do tipo de nota, o módulo AP não recebeu a flag (ASSETS_TRACKING_FLAG) necessária para a correta integração com o FA. Por se tratar de um lançamento retroativo, as linhas de maio integraram na conta transitória sem o valor dos impostos, enquanto a reversão foi realizada com o valor total da nota, ocasionando a divergência observada nos valores de IPI.
Como a contabilização já foi transferida para o GL (General Ledger) e não é possível realizar a reversão sistêmica apenas do lançamento em questão sem impactar os demais registros, a regularização dos valores deverá ser efetuada manualmente pela equipe responsável.
Com a conclusão deste diagnóstico e direcionamento das ações necessárias, confirmamos que não restam pendências sistêmicas, razão pela qual estamos procedendo com o encerramento deste chamado. Permanecemos à disposição para suporte em futuras solicitações.</t>
  </si>
  <si>
    <t>INC453768T</t>
  </si>
  <si>
    <t>Bom dia! Solicito exclusão da interface do GL x RFM o lote do dia 04/05/2026, que passou a aparecer agora indevidamente.</t>
  </si>
  <si>
    <t>Camila</t>
  </si>
  <si>
    <t xml:space="preserve">'- [ ] Qual é o incidente: delatar lote da interface
- [ ] Porque aconteceu:  lote indevido
- [ ] Tratativa do incidente:  montado script para deletar lote da interface
- [ ] Cabe Causa Raiz:  nao
- [ ] Cabe Melhoria: nao 
- [ ] Cabe treinamento :  nao </t>
  </si>
  <si>
    <t>INC440768T</t>
  </si>
  <si>
    <t>Boa tarde!
Gostaria de reportar um problema identificado no relatório de compras quando há o pagamento antecipado a fornecedor. Por exemplo: a NF 19851 que deu entrada no dia 07/05/2026 e seu vencimento era dia 04/09/2026. Porém, a Camicado fez antecipação de pagamento a este fornecedor e pagou antes do vencimento, no dia 25/05/2026. No relatório citado, está trazendo na coluna de DATA VENC o dia que o pagamento foi feito e não o vencimento original. Desta forma, solicito que seja analisado pq o relatorio está trazendo o dia do pgto e não do vencimento original. Obrigada.</t>
  </si>
  <si>
    <t>Informamos que a análise referente à exibição da data de vencimento no relatório de compras foi concluída. Foi observado que o relatório trazia a data de pagamento antecipado na coluna "DATA VENC" em vez da data de vencimento original do título.
Realizamos o ajuste necessário no sistema para assegurar que a coluna de vencimento passe a apresentar corretamente a data de vencimento original, corrigindo o comportamento reportado e garantindo a integridade dos dados apresentados nas próximas consultas, mesmo para casos de antecipações.
O ajuste foi devidamente validado e não restam pendências em relação a este ponto. Diante disso, estamos realizando o encerramento deste chamado. Permanecemos à disposição para suporte futuro, caso necessário.
Atenciosamente,
Equipe EBS</t>
  </si>
  <si>
    <t>INC445617T</t>
  </si>
  <si>
    <t>Olá,
Bom dia, tudo bem?
Já haviamos entrado em contato com o time do EBS para ajustar a situação do CC do correspondente bancário que está caindo como 0101 e deveria estar como 2001 nos casos de cancelamento/aviso de crédito.
Diante disto, haviamos conversado com o Michel de Oliveira Castro que ficou de análisar a situação com a Angela e conversarmos sobre, contudo não tivemos retorno.
A equipe da contabilidade está realizando estes ajustes de forma manual dos lançamentos, mas precisamos ajustar internamente no sistema, Conseguem nos apoiar?</t>
  </si>
  <si>
    <t>Informamos que as verificações e os ajustes necessários foram concluídos no Oracle EBS. A parametrização foi corrigida com sucesso, garantindo que os lançamentos de cancelamento e aviso de crédito referentes ao correspondente bancário sejam direcionados ao Centro de Custo (CC) 2001, conforme esperado.
Após a implementação da correção, o cenário foi regularizado e não foram identificadas novas inconsistências relacionadas ao problema reportado.
Dessa forma, consideramos a demanda atendida e o chamado será encerrado.
Permanecemos à disposição caso seja necessário algum apoio adicional.
Atenciosamente,
Equipe EBS</t>
  </si>
  <si>
    <t>INC458572T</t>
  </si>
  <si>
    <t>Problemas com Notamax  Brasil</t>
  </si>
  <si>
    <t>Olá, tudo bem? Colaborador(a) entrou em contato relatando problemas com valor de nota fiscal. Ao fazer a nota ela tem o valor de R$ 15.337,00 mas ao emitir ela fica com valor de R$17.956,10. 
Nº da nota: 2468788
Número da sua funcional: 191951
Número da sua loja: 504
Telefone para contato (que receba Whatsapp): 972060757
Favor verificar, por gentileza.
Atenciosamente, 
Service Desk ☕</t>
  </si>
  <si>
    <t>Crissia</t>
  </si>
  <si>
    <t>Olá, tudo bem?
Realizamos a análise da divergência apresentada na **NF 2468788** e identificamos que a diferença entre o valor informado de **R$ 15.337,00** e o valor de **R$ 17.956,10** está relacionada aos valores de impostos provenientes do **RI**.
Foram disponibilizadas as informações dos lançamentos correspondentes no AP para conferência, sendo identificado o lançamento **"AP. NF. 2468788 FORN. 89054050"**, que contempla os valores envolvidos no processo.
Dessa forma, esclarecemos a composição do valor apresentado na nota e consideramos a demanda atendida. O chamado será encerrado.
Atenciosamente,  
Equipe EBS</t>
  </si>
  <si>
    <t>INC458373T</t>
  </si>
  <si>
    <t>Favor verificar o pagamento 2662694 realizado em 11/08 para o fornecedor REALIZE SOCIEDADE DE CREDITO, FINANCIAMENTO E INVESTIMENTO S.A.  pois o mesmo consta com status de contabilização "Processado" , porém o time de contabilidade informa que esses valores não constam no registro do livro razão do GL</t>
  </si>
  <si>
    <t xml:space="preserve">'- [ ] Qual é o incidente: notas nao transferidas
- [ ] Porque aconteceu:  combinações contábeis desativadas
- [ ] Tratativa do incidente:  apos ativar, fomos executando dia a dia e cada dia aparecia combinações  novas
- [ ] Cabe Causa Raiz:  nao
- [ ] Cabe Melhoria: nao 
- [ ] Cabe treinamento :  nao </t>
  </si>
  <si>
    <t>INC454388T</t>
  </si>
  <si>
    <t>Bom Dia!
Estou tentando gerar o GL Pacote de Manutenção desde a semana passada e não estou conseguindo. Aparece o erro em anexo.
Desde já agradeço.</t>
  </si>
  <si>
    <t>Catiane</t>
  </si>
  <si>
    <t>INC453791T</t>
  </si>
  <si>
    <t>Olá, tudo bem?!
Estou com um lançamento que não está contabilizando no Razão da conta 2103031002 (IRRF Outros), porém consta na Query RI e até subiu para o TaxOne, por gentileza, poderiam nos auxiliar?</t>
  </si>
  <si>
    <t>INC446397T</t>
  </si>
  <si>
    <t>EBS - Oracle Human Resource (HR)</t>
  </si>
  <si>
    <t>Bom dia, tudo bem?
Não estou conseguindo realizar os desligamento dos colaboradores abaixo no HR:
DENIZE RITA DO ROSARIO - 00140918
ELAINE ROCHA DOS SANTOS - 00156010</t>
  </si>
  <si>
    <t>INC459601T</t>
  </si>
  <si>
    <t>EBS - Oracle iExpenses (OIE)</t>
  </si>
  <si>
    <t>Prezados, tudo bem?
Ao clicar em criar relatório de despesas da erro de "entre em contato com administrador do sistema".
Testes realizado em guia anônima mas o erro persistiu.
Poderiam verificar, por favor?
Número da sua funcional: 001109817
Número da sua loja: 081
Telefone para contato (que receba Whatsapp): 81987502023
Segunda opção de contato, caso não esteja disponível: 81988367039</t>
  </si>
  <si>
    <t>Gabryelle</t>
  </si>
  <si>
    <t>SH GUARARAPES</t>
  </si>
  <si>
    <t>INC459097T</t>
  </si>
  <si>
    <t>Prezados, 
Colaborador(a) entra em contato com Service Desk e relata estar com problema, centro de custo 2001 apresenta erro em anexo. Esteve em contato com CSC operações e orientaram entrar em contato com TI.
❗Informações Obrigatórias: 
Número da sua funcional: 001203607
Número da sua loja:570
Telefone para contato (que receba Whatsapp):66 99941-6411
Segunda opção de contato, caso não esteja disponível:
📎Anexado imagem do(a) ❗Obrigatório❗ 
Atenciosamente, Service Desk ☕   
Assistente de TI</t>
  </si>
  <si>
    <t>Rodolfo</t>
  </si>
  <si>
    <t>SH TRES AMERICAS</t>
  </si>
  <si>
    <t>INC450025T</t>
  </si>
  <si>
    <t>Boa tarde tudo bem? Colaboradora não teve seu últimos pedidos de adiantamento depositados em conta e não conseguimos solucionar até o momento. Poderia verificar se existe alguma inconsistência no cadastro EBS? Como dados bancários ou dados do colaborador? Em conversa no Teams, pelo responsável pelos pagamentos, a informação é que os valores depositados estavam sendo estornados.</t>
  </si>
  <si>
    <t>Lidia</t>
  </si>
  <si>
    <t>SH CIDADE PARANAVAI SHOPPING</t>
  </si>
  <si>
    <t>Olá,
Em consulta temos três relatórios da colaboradora LIDIA LAIA DA SILVA:
_1476773 - Pronto para Pagamento - Ver com Contas à Pagar
_1838352 - Pronto para Pagamento - Ver com Contas à Pagar
_1840593 - Rejeitado - Rejeitado por ELAINE DE SOUSA GARCIA em 27/06/2026 17:57:10.
Os dois primeiros relatórios ainda estão na fase de Pronto para Pagamento.
Não identificado nenhuma falha de sistema. Para maiores informações, entre em contato com o setor de contas a pagar para que possa lhe passar maiores detalhes.
Att.
Equipe EBS</t>
  </si>
  <si>
    <t>INC444927T</t>
  </si>
  <si>
    <t>Colaborador informa que nenhum usuário da loja está conseguindo acessar o EBS.
Problema ocorre em todos os módulos.</t>
  </si>
  <si>
    <t>INC446410T</t>
  </si>
  <si>
    <t>Estou tentando criar um relatório de despesa porém esta com este erro:
''Erro
Erro de validação da conta: Esta combinação está desativada. Escolha outra. Entre em contato com o administrador do sistema para corrigir esse erro.''
Minha conta do banco já foi cadastrada, faz muito tempo que não faço RD, mas funcionava antigamente.</t>
  </si>
  <si>
    <t>Tamara</t>
  </si>
  <si>
    <t>SH PARQUE DOM PEDRO</t>
  </si>
  <si>
    <t>INC442928T</t>
  </si>
  <si>
    <t>Bom dia tudo bem? Ao solicitar adiantamento, coloquei como aprovador, Marcos Oliveira, Gerente de canais (marcos.oliveira@lojas.com.br). Recebi o valor em conta para utilizar. Após o evento, anexei as notas na mesma solicitação de adiantamento. Dando como resultado um valor de pouco mais de R$ 30,00 a devolver.  Na solicitação aparece um mensagem que o relatório de despesas ja foi submetido anteriormente a aprovação conforme anexo. Não consegui mandar para aprovação novamente. Recebi e-mail cobrando prestação de contas e informando que todo o valor do adiantamento será descontado na próxima folha de pagamento.Se puderem orientar agradeço.</t>
  </si>
  <si>
    <t>Kleber</t>
  </si>
  <si>
    <t>[ ] Qual é o incidente?
Bom dia tudo bem? Ao solicitar adiantamento, coloquei como aprovador, Marcos Oliveira, Gerente de canais (marcos.oliveira@lojas.com.br). Recebi o valor em conta para utilizar. Após o evento, anexei as notas na mesma solicitação de adiantamento. Dando como resultado um valor de pouco mais de R$ 30,00 a devolver.  Na solicitação aparece um mensagem que o relatório de despesas ja foi submetido anteriormente a aprovação conforme anexo. Não consegui mandar para aprovação novamente. Recebi e-mail cobrando prestação de contas e informando que todo o valor do adiantamento será descontado na próxima folha de pagamento.Se puderem orientar agradeço.
[ ] Por que aconteceu?
O Adiantamento (_1743096) foi aprovado por MARCOS DE OLIVEIRA.
O relatório da prestação de contas (_1748371) foi enviado para aprovação de MARCOS OLIVEIRA ARAUJO.
Possível erro na seleção do colaborador, onde escolheu o aprovador errado, que não possui alçadas.
[ ] Tratativa do incidente
Retirar o relatório, alterar o nome do aprovador para o correto (MARCOS DE OLIVEIRA) e submeter novamente.
[ ] Cabe Melhoria?
Não
[ ] Cabe Causa raiz?
Não</t>
  </si>
  <si>
    <t>INC441064T</t>
  </si>
  <si>
    <t>Estou com problemas para criar relatório de reembolso no EBS, ao tentar criar em qualquer um dos contexto de gabarito despesa automaticamente entra como se fosse adiantamento, poderiam verificar ?</t>
  </si>
  <si>
    <t>Kevin</t>
  </si>
  <si>
    <t>654 - CD MANIPULACAO</t>
  </si>
  <si>
    <t>[ ] Qual é o incidente?
Estou com problemas para criar relatório de reembolso no EBS, ao tentar criar em qualquer um dos contexto de gabarito despesa automaticamente entra como se fosse adiantamento, poderiam verificar ?
[ ] Por que aconteceu?
O Gabarito "LOJAS" não é um gabarito de Adiantamentos. 
A aba de Adiantamento fica habilitado, pois o KEVIN DA COSTA BARBOSA DIAS, possui um adiantamento de 500,00 ainda não aplicado, e nesse momento ele pode escolher se vai aplicar ao adiantamento ou não.
[ ] Tratativa do incidente
Seguir normalmente o processo de reembolso, na aba de Adiantamento informa se vai aplicar ou não ao adiantamento em aberto.
[ ] Cabe Melhoria?
Não
[ ] Cabe Causa raiz?
Não</t>
  </si>
  <si>
    <t>INC444149T</t>
  </si>
  <si>
    <t>Boa tarde, tudo bem? 
sou de cadastro ao fazer a CORREÇÃO DE RDs COM ERRO, e ajustar as hierarquias o mesmo continua apresentado erros.
KARINA SULZBACH MENEGAZ
_1828561
_1834177
TAINA DE PAULA SANTOS
_1828463</t>
  </si>
  <si>
    <t xml:space="preserve">[ ] Qual é o incidente?
Erros relatórios de despesas.
[ ] Por que aconteceu?
Os relatórios abaixo:
_1828561
_1834177
Estão indo para aprovação de BRUNA ALMEIDA DE OLIVEIRA.
O cadastro HR de Bruna está sem o CARGO, e sem o cargo cadastrado com os limites corretos de aprovação, não aprova.
O relatório:
_1828463
Está indo corretamente para a PATRICIA GONCALVES BERNARDES. Ela possui as alçadas.
Precisa pedir pra retirar o relatório e submeter novamente.
[ ] Tratativa do incidente
Caso 1: Corrigir o cadastro de HR, informando um cago que tenha já as atribuições de aprovação.
Caso 2: Precisa pedir pra retirar o relatório e submeter novamente.
[ ] Cabe Melhoria?
Não
[ ] Cabe Causa raiz?
Não
</t>
  </si>
  <si>
    <t>INC446007T</t>
  </si>
  <si>
    <t>Não consigo prosseguir com a criação do meu relatório de despesas devido à um ERRO (imagem em anexo).</t>
  </si>
  <si>
    <t>Victor</t>
  </si>
  <si>
    <t>[ ] Qual é o incidente?
Não consigo prosseguir com a criação do meu relatório de despesas devido à um ERRO (imagem em anexo).
[ ] Por que aconteceu?
A mensagem de erro direciona o caminho para abrir chamado a equipe de cadastro. O HR de VICTOR BITENCOURT SILVEIRA CHAMUN está sem cadastro de supervisor.
[ ] Tratativa do incidente
Abrir chamado para a equipe de cadastro conforme orientação na mensagem do Oracle para ajustes em seu cadastro.
[ ] Cabe Melhoria?
Não
[ ] Cabe Causa raiz?
Não</t>
  </si>
  <si>
    <t>INC458925T</t>
  </si>
  <si>
    <t>Prezados , boa noite. Tudo bem ? Informo que foi lançado relatório de despesas ,e aprovado , no entanto , há uma divergência de informações , onde , no início , informa a pendencia da aprovação e no próprio relatório consta a aprovação . Com isso , os valores ainda não foram restituídos .</t>
  </si>
  <si>
    <t>SH PATIOMIX TEIXEIRA DE FREITAS</t>
  </si>
  <si>
    <t>Olá,
O relatório de despesa _1932666 foi aprovado em 14/08/2026, porém ocorreu erro no workflow e não seguir adiante.
Portanto, peço que retire o relatório e envie novamente para aprovação.
Como não houve retorno em tempo hábil, o chamado está sendo encerrado.
Att.
Equipe EBS</t>
  </si>
  <si>
    <t>INC457635T</t>
  </si>
  <si>
    <t>Olá, tudo bem ? Quando tento criar um relatório de despesa aparece o erro conforme mostrado no print.</t>
  </si>
  <si>
    <t>Willington</t>
  </si>
  <si>
    <t>SH PAULISTA NORTH WAY</t>
  </si>
  <si>
    <t>INC457798T</t>
  </si>
  <si>
    <t>Prezados,
Colaborador(a) entra em contato com Service Desk e relata estar com problema no EBS.
— A colaboradora Luana informou que não estava conseguindo realizar a RD de KM no módulo [EBS] OIE Operacional - Relatório de Despesa.
Após a validação, foi identificado que a colaboradora não possuía o acesso cadastrado no sistema, enquanto o colaborador de funcional 00148382 possuía o acesso [EBS] OIE Operacional. Foi orientado que o acesso deveria ser solicitado via GIA.
Entretanto, a colaboradora informou que já utilizava a funcionalidade mensalmente para realizar relatórios de despesas e que o gestor também havia efetuado testes, encontrando o mesmo erro. Segundo ela, o problema não estava relacionado à falta de acesso, mas sim a um erro sistêmico relacionado à data. Ela enviou evidências demonstrando a situação e reforçou que tanto ela quanto o colega apresentavam o mesmo comportamento no sistema.
❗ Informações Obrigatórias:
🔹 Informe o número do relatório _1937176
🔹 Funcional espelho: 001184402
🔹 Número da sua Funcional: 001111274
🔹 Número da sua Loja: 354
📱 Telefone para contato (com WhatsApp): 48998437744
📱 Segunda opção de WhatsApp (caso esteja indisponível): 48996268806
Atenciosamente,
Service Desk ☕
Assistente de TI</t>
  </si>
  <si>
    <t>SH NACOES CRICIUMA</t>
  </si>
  <si>
    <t>Olá,
Chamado encerrado pois processo funcionou, conforme informado pela usuária.
Att.
Equipe EBS</t>
  </si>
  <si>
    <t>INC458781T</t>
  </si>
  <si>
    <t>Olá, tudo bem?
Colaborador(a) entrou em contato relatando dificuldades [EBS].
🔍 Erro identificado:
Colaboradora relata estar sem conseguir acessar seu relatório de despesas. Poderiam verificar?
⚠️ Informações obrigatórias:
Ordem de despesa: RD _1748882 - R$ 1.000,00 paga em 06/04/2026 sem prestação de contas
Nº de Imobilizado: 2688838
Número da sua funcional: 182840
Número da sua loja: 356
Telefone para contato (que receba Whatsapp): 8399841-8683
📎Anexado imagem 
Agradecemos o suporte!
Atenciosamente...
Service Desk 💻</t>
  </si>
  <si>
    <t>Viviane</t>
  </si>
  <si>
    <t>SH PARTAGE CAMPINA GRANDE</t>
  </si>
  <si>
    <t>Olá @[Viviane Leite da Silva],
Existe uma divergência em seu cadastro de HR.
Favor entrar em contato com o setor de cadastro para regularização.
Para solicitar ajuste do cadastro do colaborador no EBS, por favor abra um chamado no portal CSC conforme abaixo:
https://.service-now.com/esc?id=sc_cat_item&amp;table=sc_cat_item&amp;sys_id=ec48b5561bcff99057b486afe54bcbcc
CSC &gt; Suporte Administrativo &gt; Cadastros &gt; Cadastro do Colaborador
Att.
Equipe EBS</t>
  </si>
  <si>
    <t>INC457091T</t>
  </si>
  <si>
    <t>Boa tarde, tudo bem?
Estamos com uma cliente, para depósito em conta, porém apresenta o mesmo erro de " O Código do Local do Fornecedor é inválido". Imagem em anexo.
Favor verificar o perfil do cliente para a devida regularização. Pois precisamos realizar o pagamento.
Dados bancários: 
Carlos Henrique Baptista Diniz 
14082931708
Banco: Santander 
Agência: 4467
Cc : 01009607-0 
Aguardo retorno.</t>
  </si>
  <si>
    <t>INC459029T</t>
  </si>
  <si>
    <t>Prezados , boa noite . Tudo bem ? Foi solicitado adiantamento de valores , através do relatório 1932490 . O mesmo  relatório foi aprovado , no entanto , valores não caíram na conta do colaborador .</t>
  </si>
  <si>
    <t>Olá @[Alexandre da Silva Bastos Junior],
Para informações sobre pagamentos, necessário abrir chamado na oferta abaixo:
https://.service-now.com/esc?id=sc_cat_item&amp;sys_id=c3b21fc71ba275d057b486afe54bcb15
Nós da área de TI, não temos ação.
Att.
Equipe EBS</t>
  </si>
  <si>
    <t>INC454557T</t>
  </si>
  <si>
    <t>Olá, tudo bem?
A rd ja foi aprovada porém segue subindo para aprovação. Poderiam verificar 
RD 1828469,1913115
Nome: Karina Pelissari Morando de Assis</t>
  </si>
  <si>
    <t>[ ] Qual é o incidente?
A rd ja foi aprovada porém segue subindo para aprovação. Poderiam verificar 
[ ] Por que aconteceu?
Não identificado nenhum problema sistêmico para os dois relatórios de despesas.
[ ] Tratativa do incidente
O relatório _1828469 já consta como PAGO e o relatório _1913115 está no status "Pronto para Pagamento"
[ ] Cabe Melhoria?
Não
[ ] Cabe Causa raiz?
Não</t>
  </si>
  <si>
    <t>INC457074T</t>
  </si>
  <si>
    <t>Olá, não sei se abri correto, mas segundo a solicitação INC4568623 meu ebs consta como inativo, preciso fazer meu cadastro no sistema, para que eu possa solicitar adiantamentos e lançar meus aluguéis.</t>
  </si>
  <si>
    <t>Ingleson</t>
  </si>
  <si>
    <t>SH JOINVILLE</t>
  </si>
  <si>
    <t>INC458241T</t>
  </si>
  <si>
    <t>EBS - Oracle Inventory Management (INV)</t>
  </si>
  <si>
    <t>Boa tarde, tudo bem?
Estamos com transações pendentes, porem não estamos conseguindo tratar as mesmas, poderia verificar pois teremos impacto no fechamento do PAC?
Obrigado.</t>
  </si>
  <si>
    <t>Fabio</t>
  </si>
  <si>
    <t>Análise das informações das transações paradas na interface aberta de transações do INV;
Verificado que eram transações de transferência com destino Inventário onde a organização de destino era a mesma da de origem e não possuía informação do subinventário de destino.
Feito contato com o usuário para orientar sobre o processo para correção da ocorrência.
Usuário reportou que haviam transações de entrega não processadas.
Conferidas as informações das transações e solicitado ao usuário que execute a interface trip stop para atualizar o status da entrega no OM.</t>
  </si>
  <si>
    <t>INC455301T</t>
  </si>
  <si>
    <t>Olá, tudo bem? Colaborador(a) entrou em contato relatando que não consegue transferir imobilizado para CD pois ele está sistemicamente no CD. Não conseguiu realizar os processos no EBS e foi orientada a abrir esse chamado
Nº de Imobilizado para transferência: 12714877
Nº ordem: 1506533
Número da sua funcional: 001181870
Número da sua loja: 514
Telefone para contato (que receba Whatsapp): 53 99551878
Favor verificar, por gentileza.
Atenciosamente, 
Service Desk ☕</t>
  </si>
  <si>
    <t>Giana</t>
  </si>
  <si>
    <t>LJ DE BAGE</t>
  </si>
  <si>
    <t>Foram geradas 3 ordens ( 1506261, 1506167,1505818) anteriormente pelo usuário moreira.tiago@lojas.com.br. As ordens sofreram desvinculação automática pelo mesmo usuário ao invés do cancelamento da nota e com isso foi transferido 4 unidades do ativo na ordem de número 1506533.
Essa ordem vai dar erro na transferência pela quantidade disponível do ativo. Precisa contatar o time do tributário e cancelar a nota 155750 para que o ativo fique livre para uma nova transação.
Ao refazer a operação precisa ser colocado a quantidade correta de 1 unidade, caso contrário o ativo não irá transferir.</t>
  </si>
  <si>
    <t>INC448621T</t>
  </si>
  <si>
    <t>Boa tarde, tudo bem?
Não estou conseguindo tratar as transações pendentes, por gentileza poderia verificar, teremos impacto no fechamento do PAC.
Obrigado.</t>
  </si>
  <si>
    <t xml:space="preserve">Olá, tudo bem?
Realizamos a análise das transações pendentes que estavam impedindo o tratamento e poderiam impactar o fechamento do PAC.
Durante a tratativa, foram efetuadas as correções necessárias para regularização do cenário, incluindo a limpeza de registros pendentes de interface, cancelamento das requisições e ordens associadas, remoção de registros de supply e atualização dos dados logísticos e de entrega vinculados às transações inconsistentes.
Após a execução dos ajustes, as pendências foram regularizadas e o processo voltou a apresentar o comportamento esperado, não sendo identificados bloqueios remanescentes relacionados ao cenário reportado.
Dessa forma, consideramos a demanda atendida e o chamado será encerrado.
Atenciosamente,
Equipe EBS
</t>
  </si>
  <si>
    <t>INC456717T</t>
  </si>
  <si>
    <t>Boa tarde, tudo bem!
Faço parte do time de CSC Cadastro e fomos acionados pelo nosso cliente e que não estão encontrando o item 000362625 na lista de preço  Manutenção para a filial 716 - Ashua SH Salvador - transação SAIDA MERC/BEM DE TERC. Já validamos  o item e a transação e estão ok. Podem auxiliar? Anexo print do erro que aparece ao cliente.
At.te
Ana
CSC Cadastros</t>
  </si>
  <si>
    <t>INC455608T</t>
  </si>
  <si>
    <t>Boa tarde, tudo bem?
O concorrente não conclui o processo.</t>
  </si>
  <si>
    <t>Ajuste de paremetros realizados, validado pelo user</t>
  </si>
  <si>
    <t>INC454407T</t>
  </si>
  <si>
    <t>Olá, tudo bem?
Estou com transações pendentes, e não estou conseguindo ajustar. Poderia verificar, pois irá impactar no fechamento do PAC.
Obrigado.</t>
  </si>
  <si>
    <t xml:space="preserve">[ ] Qual é o incidente?
Estou com transações pendentes, e não estou conseguindo ajustar. Poderia verificar, pois irá impactar no fechamento do PAC.
[ ] Por que aconteceu?
Análise das informações paradas nas tabelas de interface e transações pendentes e não foram localizadas as transações de entrega não processadas informadas pelo usuário.
Localizadas duas transações paradas na interface que apresentaram problema com o destino informado na transferência que ao invés de Despesa foi informado Inventário, mas as organiações de destino são lojas e não possuem controle de estoque.
[ ] Tratativa do incidente
Gerado datafix para cancelar todo o processo de transferência e solicitado que refaçam as transferências.
Solicitado que a interface trip stop fosse executada para recriar as transações e confirmar que ainda estavam apresentando erro.
As transações ficaram paradas informando que a combinação contábil não era permitida.
Consulta para localizar regras de validação no GL que não permitam a combinação contábil das transações, mas não foi localizada nenhuma regra.
Feito contato e solicitado que as transações fossem apagadas da interface e que a interface trip stop fosse executada novamente por cada um dos usuários das organizações  e CAMICADO. Dessa forma as transações foram processadas.
Será necessário refazer as transferências referentes à req. 397658 linha 5 e req. 397932 linha 8.
Nesses dois casos os usuários fizeram transferência do CD para a loja e informaram o destino Inventário para os itens, mas nas lojas não há controle de estoque e deveriam ter sido transferidas com destino Despesa.
[ ] Cabe Melhoria?
Não
[ ] Cabe Causa raiz?
Não
</t>
  </si>
  <si>
    <t>INC455222T</t>
  </si>
  <si>
    <t>Boa tarde, tudo bem?
Tivemos recentemente o cadastro indevido de diversos itens pelo RPA, é necessário ina0tiva-los para mantermos a base do EBS limpa.
Segue planilha com os itens. 
Fico a disposição caso necessário. Desde já, agradeço. 
Yasmin Muller
CSC Cadastros</t>
  </si>
  <si>
    <t>Yasmin</t>
  </si>
  <si>
    <t>INC459012T</t>
  </si>
  <si>
    <t>EBS - Oracle iProcurement (iProc)</t>
  </si>
  <si>
    <t>Boa tarde , tudo bem? Foram feitas duas compras pelo EBS e as mesmas aparecem em andamento, porém recebi estes avisos. Poderiam verificar, por gentileza? requisição 403297 / requisição 403256</t>
  </si>
  <si>
    <t>Carolina</t>
  </si>
  <si>
    <t>SH NOVO SHOPPING</t>
  </si>
  <si>
    <t>Após verificação no Oracle EBS, identificamos que as requisições de compra 403297 e 403256 foram processadas e concluídas com sucesso, e os avisos gerados foram devidamente tratados. Confirmamos que não há pendências sistêmicas em relação a esses processos.
Dessa forma, estamos realizando o encerramento deste chamado. Seguimos à disposição para suporte futuro caso necessário.
Atenciosamente,
Equipe EBS</t>
  </si>
  <si>
    <t>INC444146T</t>
  </si>
  <si>
    <t>PRECISO DO ACESSO PARA FAZER A COMPRA DA LOJA, POIS EU SOU  AL DA 377 E DA 616 E ESTOU SEM ACESSO NENHUM NA LOJA 616</t>
  </si>
  <si>
    <t>Monica</t>
  </si>
  <si>
    <t>SH PARKCITY SUMARE</t>
  </si>
  <si>
    <t>Olá,
Para liberação de acesso precisa solicitar via GIA e após aprovação, a liberação ocorre de forma automática.
Chamado sendo encerrado, pois não há ação do suporte.
Att.
Equipe EBS</t>
  </si>
  <si>
    <t>INC457171T</t>
  </si>
  <si>
    <t>Solicito apoio para cancelamento da Requisição de compra 398777, a requisição consta com status Pré-Aprovado, preciso que a requisição seja cancelada
A RI foi aberta no sistema _PO_OPERACIONAL</t>
  </si>
  <si>
    <t>Olá @[Maria Isabel Espindola dos Santos],
Req 398777 cancelada conforme solicitado.
Att.
Equipe EBS</t>
  </si>
  <si>
    <t>INC457799T</t>
  </si>
  <si>
    <t>Loja 266 - não estou conseguido fazer pedidos para loja 266, o ebs informa que não atingiu o valor acordo, segue a imagens.</t>
  </si>
  <si>
    <t>SH CIDADE SOROCABA</t>
  </si>
  <si>
    <t>Olá,
Existe uma regra para o valor mínimo de pedido, e qualquer dúvida relacionada, deve entrar em contato com o GFA.
Att.
Equipe EBS</t>
  </si>
  <si>
    <t>INC453358T</t>
  </si>
  <si>
    <t>Boa Tarde! Tudo bem?
Devido a sala de crise CGO - SALA 3, verificamos que dentro da lojinha do IPROC os ALs conseguem selecionar vários CDs.
Poderiam verificar porque essa lista fica disponível se na filial só consta um CD conciliador?
Segue print da tela que abre a lista disponível.
Att,
Elisa Berni.
CSC Cadastros.</t>
  </si>
  <si>
    <t>[ ] Qual é o incidente?
Verificamos que dentro da lojinha do IPROC os ALs conseguem selecionar vários CDs.
Poderiam verificar porque essa lista fica disponível se na filial só consta um CD conciliador?
[ ] Por que aconteceu?
Conforme anexo (imagem (8).png) todas as opções de Lojas/CD's disponível na Origem é porque está cadastrado nas redes de entrega da filial que está setado as preferência do Iproc.
[ ] Tratativa do incidente
Rever o cadastro de Redes de Entrega e exlcuir os que não estão mais válidos.
[ ] Cabe Melhoria?
Não
[ ] Cabe Causa raiz?
Não</t>
  </si>
  <si>
    <t>INC456719T</t>
  </si>
  <si>
    <t>Olá, tudo bem?
Colaborador(a) entrou em contato relatando dificuldades erro relatado.
🔍 Erro identificado:
Solicitante possui o acesso ao IPROC da loja 516, mas não consegue selecionar o CD para envio. Apenas aparecem as opções de lojas do Uruguai. Poderiam analisar?
O mesmo abriu um chamado para verificação do time de cadastro: CSC1450712. Onde foi orientado a abrir um chamado com TI.
⚠️ Informações obrigatórias:
Número da sua funcional: 001217641
Número da sua loja: 516
Telefone para contato (que receba Whatsapp): 6999949-4616
Segunda opção de contato, caso não esteja disponível: 9798412-4640
📎Anexado imagem do erro relatado.
Agradecemos o suporte!
Atenciosamente...
Service Desk 💻</t>
  </si>
  <si>
    <t>Eduardo</t>
  </si>
  <si>
    <t>SH CACOAL</t>
  </si>
  <si>
    <t>Olá,
Pelo print de tela me parece que está acessando a responsabilidade do UY.
Confira que esteja acessando a responsabilidade _IPROC_OPERACIONAL_COMPRA e vá até a tela de lojas para distribuição.
Como não houve retorno em tempo hábil, o chamado está sendo encerrado.
Att.
Equipe EBS</t>
  </si>
  <si>
    <t>INC455726T</t>
  </si>
  <si>
    <t>Boa tarde!
Estou realizando a compra mensal junto ao fornecedor Gimba, porém, ao selecionar os itens, o sistema não os carrega para a requisição, impossibilitando a continuidade do processo de compra.
Poderiam, por gentileza, verificar o ocorrido e me auxiliar na resolução desse problema?
Desde já, agradeço pela atenção.</t>
  </si>
  <si>
    <t>Andreia</t>
  </si>
  <si>
    <t>SH RIBEIRAO PRETO</t>
  </si>
  <si>
    <t>[ ] Qual é o incidente?
Itens não aparece na busca do iproc para compras.
[ ] Por que aconteceu?
Os acordos com o fornecedor SUPRICORP SUPRIMENTOS LTDA venceram em 31/07/2026, e obrigatoriamente todas as requisiçoes de compras devem estar atreladas a um acordo vigente.
[ ] Tratativa do incidente
Entrar em contato com o setor de suprimentos Jessica Francine das Chagas Alves Moreira (jessica.alves@lojas.com.br) para solicitação da renovação do contrato com o fornecedor.
Nós de TI não temos ação para esse caso.
[ ] Cabe Melhoria?
Não
[ ] Cabe Causa raiz?
Não</t>
  </si>
  <si>
    <t>INC454163T</t>
  </si>
  <si>
    <t>Caros,
Eu não estou conseguindo realizar pedidos internos pois meu cd conciliador não esta cadastrado. Por favor cadastrar e adicionar CD 504</t>
  </si>
  <si>
    <t>Emerson</t>
  </si>
  <si>
    <t>SH SALVADOR</t>
  </si>
  <si>
    <t xml:space="preserve">Olá @[Emerson Felipe de Morais Silva],
Desculpe, mensagem foi cortada.
Segue o link correto:
https://.service-now.com/esc?id=sc_cat_item&amp;sys_id=b61279421bfe355457b486afe54bcbd4
CSC &gt; Suporte Administrativo &gt; Cadastros &gt; Cadastro de Filial, para que possa verificar a configuração das redes de entrega para a organização de origem e destino.
</t>
  </si>
  <si>
    <t>INC442941T</t>
  </si>
  <si>
    <t>Buenos días, todo bien?
Tenemos un error en EBS, luego que el gerente aprueba la RC, no se genera PO
Adjunto print de pantalla con error.
Saludos,</t>
  </si>
  <si>
    <t>Valeria</t>
  </si>
  <si>
    <t>LOJAS  URUGUAY S.A.</t>
  </si>
  <si>
    <t>[ ] Qual é o incidente?
Requisição de compra não gerou PO.
[ ] Por que aconteceu?
A req 3735 está vinculado ao acordo 21390, que tem como data fim em 06/06/2026 23:59:59.
[ ] Tratativa do incidente
Sugiro que entre em contato com o setor de suprimentos (dienifer.oliveira@lojas.com.br) para que possa analisar o contrato.
[ ] Cabe Melhoria?
Não
[ ] Cabe Causa raiz?
Não</t>
  </si>
  <si>
    <t>INC442196T</t>
  </si>
  <si>
    <t>Boa tarde, tudo bem? 
Fiz essa requisição porém ela não gerou ordem, pois apresenta um erro de validação no OM. 
Já abri chamado anteriormente para o almoxarifado e ele informaram que consultou o cadastro dos itens e estão ok, mas ao consultar OM em correções a RI encontra-se com erro e solicitaram que abrisse um chamado por aqui.</t>
  </si>
  <si>
    <t>Nathalia</t>
  </si>
  <si>
    <t>30003 - SH PLAZA SUL</t>
  </si>
  <si>
    <t xml:space="preserve">[ ] Qual é o incidente?
Requisição Interna não gerou ordem de venda.
[ ] Por que aconteceu?
O item 000332129 referente a linha 9 está inativo no cadastro de item mestre.
[ ] Tratativa do incidente
Para a correção, precisa cancelar a requisição 35440 e gerar uma nova excluindo o item 000332129 do carrinho.
[ ] Cabe Melhoria?
Sim
[ ] Cabe Causa raiz?
Sim. Existia uma personalização que impedia a criação da requisição com o item inativo. Identificamos que perdemos essas configurações após a migração de versão.
Estamos com a equipe mobilizada para a reativação e bloqeio de futuros problemas.
</t>
  </si>
  <si>
    <t>***REABERTURA INDEVIDA***
Olá,
Conforme informado no encerramento do chamado:
[ ] Tratativa do incidente
Para a correção, precisa cancelar a requisição 35561 e gerar uma nova excluindo o item 000332129 do carrinho.
O procedimento de cancelamento e geração de uma nova é feita pelo requisitante.
Att.
Equipe EBS</t>
  </si>
  <si>
    <t>INC455460T</t>
  </si>
  <si>
    <t>Olá, tudo bem?
Colaborador(a) entrou em contato relatando dificuldades [EBS].
🔍 Erro identificado:
Não aparece o CD 504 que seria o correto para selecionar no EBS, não consegue mudar manualmente. Poderiam verificar, por gentileza?
⚠️ Informações obrigatórias:
CD Correto: 504
Número da sua funcional: 001215504
Número da sua loja: 611
Telefone para contato (que receba Whatsapp): 65993360807
Segunda opção de contato, caso não esteja disponível: +55 61 99112-5427
📎Anexado imagem do Erro ❗Obrigatório❗
Agradecemos o suporte!
Atenciosamente...
Service Desk 💻</t>
  </si>
  <si>
    <t>Debora</t>
  </si>
  <si>
    <t>LJ LUCAS DO RIO VERDE</t>
  </si>
  <si>
    <t>[ ] Qual é o incidente?
 Não aparece o CD 504 que seria o correto para selecionar no EBS, não consegue mudar manualmente.
[ ] Por que aconteceu?
A loja que estava setada para o local de distribuição na opção "Preferências do iproc" era a 064, e não a 611 de sua loja.
[ ] Tratativa do incidente
Usuário alterou o local de distribuição na opção "Preferências do iproc" para 611 e apareceu o CD 504 como origem para requisição interna.
[ ] Cabe Melhoria?
Não
[ ] Cabe Causa raiz?
Não</t>
  </si>
  <si>
    <t>INC459093T</t>
  </si>
  <si>
    <t>Problemas com EBS - Integrações com Ecomex  Brasil</t>
  </si>
  <si>
    <t>Bom dia, tudo bem?
Solicito a atualização do meu cadastro no sistema EBS iProc, pois atualmente algumas informações estão desatualizadas e impactando a criação de requisições de compra.
Ao gerar uma requisição, estou enfrentando os seguintes problemas:
O local de entrega está sendo direcionado para minha filial anterior, em vez da minha filial atual, Loja 123.
A data da necessidade está sendo preenchida automaticamente para o mesmo dia da solicitação.
O fluxo de aprovação está apresentando meu coordenador anterior como aprovador das requisições.
Peço, por gentileza, que sejam realizadas as seguintes atualizações em meu cadastro:
Alteração da filial vinculada para Loja 123.
Revisão e correção do local de entrega padrão nas requisições.
Atualização da hierarquia de aprovação, removendo o coordenador antigo e vinculando o aprovador correto conforme minha estrutura atual.
Desde já, agradeço o apoio e fico à disposição para fornecer informações complementares, caso necessário.</t>
  </si>
  <si>
    <t>Giliard</t>
  </si>
  <si>
    <t>SH BOA VISTA</t>
  </si>
  <si>
    <t xml:space="preserve">Olá @[Giliard Matheus Tavares da Silva],
1) O local de entrega está sendo direcionado para minha filial anterior, em vez da minha filial atual, Loja 123.
R: O local de entrega é configurado nas preferências do iproc, segue o doc em anexo Preferencias do Iproc.docx para acompanhar o passo a passo.
2) A data da necessidade está sendo preenchida automaticamente para o mesmo dia da solicitação.
R: A data da necessidade deve ser informada manualmente.
O fluxo de aprovação está apresentando meu coordenador anterior como aprovador das requisições.
R: Para que possa corrigir o seu aprovador (supervisor), você precisa abrir um chamado para a central de cadastro e solicitar a regularização, através do caminho abaixo:
https://.service-now.com/esc?id=sc_cat_item&amp;table=sc_cat_item&amp;sys_id=ec48b5561bcff99057b486afe54bcbcc
CSC &gt; Suporte Administrativo &gt; Cadastros &gt; Cadastro do Colaborador
Att.
Equipe EBS
</t>
  </si>
  <si>
    <t>INC455613T</t>
  </si>
  <si>
    <t>Boa tarde. Tudo bem?
Não estou conseguindo realizar compra de almoxarifado do fornecedor GIMBA. Ao inserir o código do produto nenhum resultado é encontrado. O problema está ocorrendo para diversos códigos de compra recorrente. Utilizei os códigos 13046, 13075 e 14018 para exemplificar. Segue exemplos em anexo.
Foi verificado que outras loja estão com o mesmo problema.</t>
  </si>
  <si>
    <t>Bruno</t>
  </si>
  <si>
    <t>SH GARDEN CATANDUVA</t>
  </si>
  <si>
    <t>[ ] Qual é o incidente?
Itens 13046, 13075 e 14018 não aparecem na busca do iproc para compras.
[ ] Por que aconteceu?
Os acordos com o fornecedor SUPRICORP SUPRIMENTOS LTDA venceram em 31/07/2026, e obrigatoriamente todas as requisiçoes de compras devem estar atreladas a um acordo vigente.
[ ] Tratativa do incidente
Entrar em contato com o setor de suprimentos Jessica Francine das Chagas Alves Moreira (jessica.alves@lojas.com.br) para solicitação da renovação do contrato com o fornecedor.
Nós de TI não temos ação para esse caso.
[ ] Cabe Melhoria?
Não
[ ] Cabe Causa raiz?
Não</t>
  </si>
  <si>
    <t>INC455616T</t>
  </si>
  <si>
    <t>Boa tarde, tudo bem? não estou conseguindo realizar compra de almoxarifado do fornecedor GIMBA.Ao inserir o código do produto nenhum resultado é encontrado .O problema está ocorrendo com diversos códigos de compra recorrente.</t>
  </si>
  <si>
    <t>[ ] Qual é o incidente?
Item 13046 não aparece na busca do iproc para compras.
[ ] Por que aconteceu?
Os acordos com o fornecedor SUPRICORP SUPRIMENTOS LTDA venceram em 31/07/2026, e obrigatoriamente todas as requisiçoes de compras devem estar atreladas a um acordo vigente.
[ ] Tratativa do incidente
Entrar em contato com o setor de suprimentos Jessica Francine das Chagas Alves Moreira (jessica.alves@lojas.com.br) para solicitação da renovação do contrato com o fornecedor.
Nós de TI não temos ação para esse caso.
[ ] Cabe Melhoria?
Não
[ ] Cabe Causa raiz?
Não</t>
  </si>
  <si>
    <t>INC449723T</t>
  </si>
  <si>
    <t>ola boa tarde tudo bem? preciso do acesso para 616 pois sou a AL de duas lojas  e nao to conseguindo ter acesso aqui</t>
  </si>
  <si>
    <t>INC445633T</t>
  </si>
  <si>
    <t>Olá, não existe trava para itens imobilizado no EBS, o pessoal realiza compra sem informar projeto e só trava na hora do lançamento da NF gerando transtorno tendo que ir atrás de quem emitiu, tentar achar um projeto. 
Por favor, verificar a trava.
Att,</t>
  </si>
  <si>
    <t>Patricia</t>
  </si>
  <si>
    <t>INC454424T</t>
  </si>
  <si>
    <t>EBS - Oracle iSupplier (POS)</t>
  </si>
  <si>
    <t>Olá, tudo bem? Colaborador(a) entrou em contato relatando que já realizou 3 solicitações de resets de senha mas o email com login e senha não chega para a empresa em nenhum email cadastrado.
Email cadastrado: Gestao@luzservice.com.br
Número da sua matricula : 899408
Número do CNPJ: 37301309000121
Telefone para contato (que receba Whatsapp): 3198457572
Segunda opção de contato, caso não esteja disponível: 31991608034
Favor verificar, por gentileza.
Atenciosamente, 
Service Desk ☕</t>
  </si>
  <si>
    <t>Bella</t>
  </si>
  <si>
    <t>Steinkope</t>
  </si>
  <si>
    <t>Nova senha enviada ao usuário.</t>
  </si>
  <si>
    <t>INC448787T</t>
  </si>
  <si>
    <t>Prezados,
Colaborador(a) entra em contato com Service Desk e relata estar com problema para receber o email de acesso ao Isupllier.
— Enviaram email com acesso ao portal Isupllier porem o mesmo não chega para o fornecedor.
Fornecedor informa que a razao social é BOLD S.A mas no sistemas com o CNPJ encontramos apenas Hannover Plasticos S A
❗ Informações Obrigatórias:
🔹 Número da sua Funcional: 814164
🔹 Email: cobranca@bold.net
🔹 Número da sua empresa:: BOLD S.A
📱 Telefone para contato (com WhatsApp): 47 3307-3605
📱 Segunda opção de WhatsApp (caso esteja indisponível): 47 3274-6522
Atenciosamente,
Service Desk ☕
Assistente de TI</t>
  </si>
  <si>
    <t>Moises</t>
  </si>
  <si>
    <t>INC459744T</t>
  </si>
  <si>
    <t>EBS - Oracle Order Management (OM)</t>
  </si>
  <si>
    <t>Bom dia, tudo bem!
Faço parte do time de CSC Cadastro e fomos acionados pois o cliente não está conseguindo realizar um lançamento na lista de preço.
Já realizamos a validação de todos os campos da Transação e não identificamos erro. Podem ajudar? Anexo print do erro.
At.te
Ana
CSC Cadastro</t>
  </si>
  <si>
    <t>INC459616T</t>
  </si>
  <si>
    <t>Olá, tudo bem? Poderiam verificar o saldo dos ativos: 12491879, 12625782, 12712894 e 12543456 por gentileza? 
Não estou conseguindo gerar a NF mesmo com o saldo no CD324. 
Chamado de exemplo anterior, para ajudar na resolução: INC4189445 
Desde já, grato!</t>
  </si>
  <si>
    <t>Tiago</t>
  </si>
  <si>
    <t>INC459002T</t>
  </si>
  <si>
    <t>Boa tarde, tudo bem ? Estou com problemas na emissão de notas de uso e consumo pelo ebs. E me orientaram a seguir esse caminho para tentar verificar o erro. Poderiam, por gentileza, me orientar sobre como devo proceder? Segue em anexo.</t>
  </si>
  <si>
    <t>Alicia</t>
  </si>
  <si>
    <t>SH BURITI RIO VERDE</t>
  </si>
  <si>
    <t>Olá, chamado encerrado após 03 tentativas de contato.
att,
Equipe EBS</t>
  </si>
  <si>
    <t>INC459106T</t>
  </si>
  <si>
    <t>Boa tarde, coloquei planilha para emissão de notas fiscais, pelo processo ODI, mas o sistema não está consumindo a planilha. Por gentileza pode verificar se estamos com algum problema no processo?
Caminho: S:\odi\nota_manual_ebs
Obrigado.</t>
  </si>
  <si>
    <t>Jose</t>
  </si>
  <si>
    <t>Informamos que foi realizada a verificação no processo de integração do ODI e a planilha disponibilizada no diretório S:\odi\nota_manual_ebs foi processada com sucesso. Confirmamos que os dados foram devidamente consumidos pelo sistema e as notas fiscais correspondentes foram geradas, não restando pendências na fila de processamento.
Desta forma, estamos concluindo o atendimento deste chamado. Permanecemos à disposição caso surjam novas dúvidas ou necessidades de suporte.
Atenciosamente,
Equipe EBS</t>
  </si>
  <si>
    <t>INC459640T</t>
  </si>
  <si>
    <t>Boa tarde, tudo bem!
Faço parte do time de CSC Cadastro e fomos acionados pois o cliente não está conseguindo realizar um lançamento na lista de preço.
Já realizamos a validação de todos os campos da Transação e não identificamos erro. Podem ajudar? Anexo print do erro.
At.te
Ana
CSC Cadastro</t>
  </si>
  <si>
    <t>INC455851T</t>
  </si>
  <si>
    <t>Olá, boa tarde! Tudo bem? Ordem 1516686 registrada no EBS, porém, nf não esta vinculando ao Notamax. Não consigo visualizar o log de erro.</t>
  </si>
  <si>
    <t>Paloma</t>
  </si>
  <si>
    <t>INC454295T</t>
  </si>
  <si>
    <t>Olá, tudo bem?
Poderiam verificar o saldo do ativo: 12712843, por gentileza?
Não estou conseguindo gerar a NF mesmo com o saldo no cd324. 
Chamado de exemplo anterior, para ajudar na resolução: INC4189445
Desde já, grato!</t>
  </si>
  <si>
    <t>INC454002T</t>
  </si>
  <si>
    <t>Não estou conseguindo emitir uma nota de USO E CONSUMO com este seguinte item - 000324837, o EBS trava.</t>
  </si>
  <si>
    <t>INC449648T</t>
  </si>
  <si>
    <t>Solicito verificação nos ativos os mesmos estão presos .
IMOBILIZADO
12554003
12553975
12553942
12553981</t>
  </si>
  <si>
    <t xml:space="preserve">Olá, tudo bem?
Realizamos a análise da solicitação referente aos ativos **12554003, 12553975, 12553942 e 12553981**, que se encontravam com o processamento bloqueado.
Após as verificações, foram efetuados os ajustes necessários para regularização do cenário, liberando os ativos para que o processo volte a ocorrer normalmente.
Com a conclusão da tratativa e não sendo identificadas novas pendências relacionadas aos ativos informados, consideramos a demanda atendida e o chamado será encerrado.
Atenciosamente,
Equipe EBS
</t>
  </si>
  <si>
    <t>INC450017T</t>
  </si>
  <si>
    <t>Boa tarde, tudo bem?
Não estou conseguindo gerar nota fiscal para  a o ordem 1499164.
Fornecedor já foi ajustado e habilitado.
Problema no ID 101626436 XXRNER - Reprocessa NOTA AR com erro no WorkFlow SEFAZ</t>
  </si>
  <si>
    <t>Tahianne</t>
  </si>
  <si>
    <t>CENTRO DE DISTRIBUICAO 114</t>
  </si>
  <si>
    <t xml:space="preserve">Olá, tudo bem?
Realizamos a análise da ocorrência referente à geração da nota fiscal da ordem **1499164**, que apresentava erro no processamento do concorrente **XXRNER - Reprocessa NOTA AR com erro no WorkFlow SEFAZ** (Request ID **101626436**).
Durante a tratativa, foram efetuadas as verificações e os ajustes necessários para regularizar o processamento da nota fiscal. Após a correção, o fluxo foi restabelecido e a emissão da nota voltou a ocorrer conforme esperado.
Dessa forma, consideramos a demanda atendida e o chamado será encerrado.
Permanecemos à disposição caso seja necessário qualquer apoio adicional.
Atenciosamente,
Equipe EBS
</t>
  </si>
  <si>
    <t>INC449719T</t>
  </si>
  <si>
    <t>Bom dia, tudo bem?
Estamos tentando gerar ordem para a filial 585 , porém está ocorrendo o erro em anexo.
Mês passado a ordem foi criada normalmente, favor verificar o erro, pois precisamos emitir essa ordem ainda hoje, para entrega do correspondente bancário.
Atenciosamente,
Jéssica Hilleshain
CSC Fiscal</t>
  </si>
  <si>
    <t>Informamos que a inconsistência apresentada na geração da ordem para a filial 585  foi devidamente analisada e solucionada. Após a aplicação das correções necessárias, a emissão pôde ser realizada com sucesso, não restando pendências relacionadas a este processo.
Desta forma, estamos concluindo este chamado. Seguimos à disposição para qualquer suporte adicional que se faça necessário.
Atenciosamente,
Equipe EBS</t>
  </si>
  <si>
    <t>INC450023T</t>
  </si>
  <si>
    <t>Olá, tudo bem? Poderiam verificar o saldo do ativo: 1217810 , por gentileza? 
Não estou conseguindo gerar a NF mesmo com o saldo no cd324. 
Chamado de exemplo anterior, para ajudar na resolução: INC4189445 Desde já, grato!</t>
  </si>
  <si>
    <t>Informamos que a verificação de saldo do ativo 1217810 no CD324 foi concluída e os procedimentos necessários para viabilizar a geração da Nota Fiscal (NF) foram finalizados com sucesso, tomando como referência as tratativas do chamado INC4189445.
Confirmamos que não constam pendências para este registro e que a emissão já se encontra regularizada. Por este motivo, estamos procedendo com o encerramento do chamado.
Permanecemos à disposição para eventual suporte futuro.
Atenciosamente,
Equipe EBS</t>
  </si>
  <si>
    <t>INC448540T</t>
  </si>
  <si>
    <t>Solicito verificação na ordem a mesma nao gerou NF</t>
  </si>
  <si>
    <t>Você precisa refazer a ordem colocando a nf de referencia em informações adicionais, conforme print em anexo.
Att,
Equipe EBS</t>
  </si>
  <si>
    <t>INC454905T</t>
  </si>
  <si>
    <t>Prezados, 
Colaborador(a) entra em contato com Service Desk e relata estar com problema erro na validação de OM.
 Corrigindo, Solicitações: CSC1413749 e CSC1413751
❗Informações Obrigatórias: 
Nº da requisição: 36154 e 35637 (as duas apresentam o mesmo erro)
Número da sua funcional: 0038965
Número da sua loja: 30153
Telefone para contato (que receba Whatsapp): 21 99855-6525
📎Anexado imagem do(a) ❗Obrigatório❗ 
Atenciosamente, Service Desk ☕   
Assistente de TI</t>
  </si>
  <si>
    <t>Leila</t>
  </si>
  <si>
    <t>SH UBERLANDIA</t>
  </si>
  <si>
    <t>INC454333T</t>
  </si>
  <si>
    <t>Olá, tudo bem? Não é possivel entrar no acesso da loja RNR611 para gerar nota, pois está nos retornando o seguinte erro. 
Segue evidencia em anexo.
Solicito uma atenção na situação, pois precisamos retirar um equipamento dessa loja e retornar para o CD.</t>
  </si>
  <si>
    <t>Filipe</t>
  </si>
  <si>
    <t>Olá,
Conforme processo da TI, estamos encerrando o chamado após 03 tentativas de contato sem retorno.
Por favor siga as instruções informadas anteriormente, de abrir um chamado para o time do CSC Cadastro para que verifique a transação de transferencia. 
Caso apareca um novo erro, por favor abra um novo chamado.
Att
Equipe EBS</t>
  </si>
  <si>
    <t>INC443341T</t>
  </si>
  <si>
    <t>Solicito verificação dos ativos os mesmo não estou conseguindo emitir NF de transferência, time do patrimônio tbm não consegue atuar na mudança do ativo, segue anexos
Ativos:
11702394
11452443</t>
  </si>
  <si>
    <t>Olá, tudo bem?
Então, você precisa entrar em contato com a contabilidade para configurar a filial 777 na lookup RNER_GL_ORG_CODE_FILIAL.
Sem ação do suporte EBS.
Att,
Equipe EBS</t>
  </si>
  <si>
    <t>INC455204T</t>
  </si>
  <si>
    <t>Olá, tudo bem? Solicito uma validação, pois a nota fiscal não está integrando. precisamos que os equipamentos sejam enviados para porto feliz, pois, se trata de uma troca de conectividade para a rede do CD.</t>
  </si>
  <si>
    <t>INC452208T</t>
  </si>
  <si>
    <t>Olá, tudo bem?
Poderiam verificar o saldo do ativo: 1216837, por gentileza?
Não estou conseguindo gerar a NF mesmo com o saldo no cd324. 
Chamado de exemplo anterior, para ajudar na resolução: INC4189445
Desde já, grato!</t>
  </si>
  <si>
    <t>INC456548T</t>
  </si>
  <si>
    <t>Olá, tudo bem?
Prezados, 1 NF de Camicado foi gerada 7 para a loja 30008 - ativo: CM128240, mas o saldo não está na loja.
NF em anexo, poderiam verificar? Por favor</t>
  </si>
  <si>
    <t>&lt;&lt;&lt;&lt;REABERTURA INDEVIDA&gt;&gt;&gt;&gt;
Não foi seguido o processo solicitado anteriormente:
"Verificamos que a nota foi finalizada com sucesso e que o acusamento foi realizado no dia 07/08. No entanto, identificamos que há solicitações registradas na base somente até o dia 08/08 e, com as informações disponíveis, não conseguimos identificar o motivo pelo qual o ativo não foi transferido corretamente.
Como forma de contornar a situação, orientamos que a nota seja cancelada junto ao time Tributário e que, posteriormente, a operação seja refeita.
Após realizar esse procedimento, pedimos que nos encaminhe o número da ordem e solicite à filial de destino que realize o acusamento. Dessa forma, conseguiremos acompanhar e monitorar o fluxo da operação para identificar se a transferência ocorrerá corretamente."
Att,
Equipe EBS</t>
  </si>
  <si>
    <t>INC443369T</t>
  </si>
  <si>
    <t>Solicito verificação no ativo o mesmo está com erro ao tenta colocar na ordem, segue anexos
Ativos 12553943 -30504</t>
  </si>
  <si>
    <t>INC454052T</t>
  </si>
  <si>
    <t>A nota dos itens que constam nestas ordens não estão saindo, paradas há mais de uma hora.</t>
  </si>
  <si>
    <t>Matheus</t>
  </si>
  <si>
    <t>INC453983T</t>
  </si>
  <si>
    <t>Solicito verificação na ordem a mesma nao saiu NF</t>
  </si>
  <si>
    <t>Informamos que a análise referente à ordem que apresentava impedimento na emissão da Nota Fiscal foi devidamente concluída. Foi identificado que o documento fiscal correspondente já foi gerado e integrado com sucesso, não restando nenhuma pendência sistêmica vinculada a este processo.
Dessa forma, estamos procedendo com o encerramento deste chamado. Permanecemos à inteira disposição para suporte em futuras solicitações.
Atenciosamente,
Equipe EBS</t>
  </si>
  <si>
    <t>INC453970T</t>
  </si>
  <si>
    <t>Solicito verificação na ordem a mesma não gera NF</t>
  </si>
  <si>
    <t>INC446407T</t>
  </si>
  <si>
    <t>Prezados, tudo bem?
Colaborador(a) entra em contato com Service Desk e relata estar com problema no EBS de consultar notas. 
❌ Erro apresentado: Fornecedor relata que o erro que ocorre ao realizarem as consultas, é como se eles não estivesse cadastrados para utilizar o sistema. Poderiam verificar? 
Número da sua funcional: 814113
Número da sua loja: LEAO LOGISTICA E TRANSPORTES LTDA
Telefone para contato (que receba Whatsapp): 11 98204 9430
Segunda opção de contato, caso não esteja disponível: 11 97506 0694
📎Anexado imagem do(a) ❗Obrigatório❗ 
Atenciosamente, Service Desk ☕   
Assistente de TI</t>
  </si>
  <si>
    <t>[ ] Qual é o incidente?
O campo de fornecedor no portal iSupplier não exibe dados para pesquisa.
[ ] Por que aconteceu?
Ocorreu após a migração de versão para 12.2.13.
[ ] Tratativa do incidente
Já estamos com chamado Oracle 4-0002449338 aberto desde o dia 02/04/2026.
Identificaram um bug e está em análise pela equipe desenvolvimento Oracle.
Enviaram um patch de correção, mas aplicamos em dev, porém infelizmente não surtiu efeito.
Como o prazo se estendeu, abrimos o PRB0059153 para continuidade no atendimento entre cliente e Oracle.
Favor acompanhar a tratativa através desse chamado.
A única forma de contorno existente é o fornecedor entrar em contato com a área de homolgação de fornecedores para consulta de faturamento e ordens de compra.
[ ] Cabe Melhoria?
Não
[ ] Cabe Causa raiz?
Sim (PRB0059153 )</t>
  </si>
  <si>
    <t>INC443272T</t>
  </si>
  <si>
    <t>Item preso na ordem, Não conseguimos receber na filial de destino nem desvincular da ordem.</t>
  </si>
  <si>
    <t>Olá, tudo bem?
Então, vi aqui que a nota ja foi acusada.
Sem mais ação do suporte EBS, estamos encerrando o chamado.
Att,
Equipe EBS</t>
  </si>
  <si>
    <t>INC443800T</t>
  </si>
  <si>
    <t>Efetuei o acusamento da NF e saldo nao virou para o 30099, poderia verificar - NF 29405</t>
  </si>
  <si>
    <t>Olá, tudo bem?
Vimos que o ativo foi configurado para operação, sendo assim foi transferido para a 30099.
Sem mais ação estamos encerrando o chamado.
Att,
Equipe EBS</t>
  </si>
  <si>
    <t>INC453375T</t>
  </si>
  <si>
    <t>Solicito verificação da NF 29647 a mesma nao aparece para efetuar acusamento no OM 30099</t>
  </si>
  <si>
    <t>Informamos que a verificação referente à NF 29647 para acusamento no OM 30099 foi concluída com sucesso. Confirmamos que o processo foi regularizado e não há pendências em aberto.
Diante disso, estamos procedendo com o encerramento deste atendimento. Permanecemos à disposição para suporte futuro.
Atenciosamente,
Equipe EBS</t>
  </si>
  <si>
    <t>INC448613T</t>
  </si>
  <si>
    <t>Solicito verificação nos ativos os mesmos estão trancados e não consigo efetuar transferência.
CM127189
CM127200</t>
  </si>
  <si>
    <t>INC445619T</t>
  </si>
  <si>
    <t>Solicito verificação no ativo abaixo o mesmo está com mensagem de trancado.
Ativo 12455279</t>
  </si>
  <si>
    <t>INC446390T</t>
  </si>
  <si>
    <t>Solicito verificação na ordem a mesma não gerou NF, poderia verificar .</t>
  </si>
  <si>
    <t>Solicito verificação no ativo o mesmo está com erro ao tenta colocar na ordem, segue anexos</t>
  </si>
  <si>
    <t>INC453872T</t>
  </si>
  <si>
    <t>Solicito verificação na NF a mesma nao aparece no OM L324 para efetuar o acusamento.
Ativo- 12288954</t>
  </si>
  <si>
    <t>Informamos que foi realizada a análise e a devida regularização da nota fiscal associada ao ativo 12288954 no OM L324. A NF já se encontra disponível na plataforma para que o procedimento de acusamento seja concluído com sucesso.
Confirmamos que não existem pendências remanescentes relacionadas a este chamado e, por este motivo, estamos procedendo com o seu encerramento.
Seguimos à disposição para suporte em futuras solicitações.
Atenciosamente,
Equipe EBS</t>
  </si>
  <si>
    <t>INC444914T</t>
  </si>
  <si>
    <t>Todas as ordens criadas de uso e consumo se mantem no status preenchido mesmo após registrar as ordens, precisamos que sigam com status fechado para submeter e emitir a nota fiscal</t>
  </si>
  <si>
    <t>Identificamos a inconsistência que mantinha as ordens de uso e consumo com o status "Preenchido" mesmo após o registro das mesmas. Foi realizado o ajuste corretivo no fluxo do sistema para assegurar que essas ordens passem automaticamente ao status "Fechado", permitindo que prossigam normalmente para a submissão e a emissão das respectivas notas fiscais.
Confirmamos que a correção foi aplicada com sucesso e que não restam pendências para este cenário, razão pela qual estamos procedendo com o encerramento deste chamado. Permanecemos à disposição para qualquer suporte futuro que se faça necessário.
Atenciosamente,
Equipe EBS</t>
  </si>
  <si>
    <t>INC441137T</t>
  </si>
  <si>
    <t>Ordem não fecha por conta do 'Status' que não muda para PREENCHIDO.
E eu não consigo desvincular o imobilizado da ordem também pra refazer a nota.</t>
  </si>
  <si>
    <t>Realizado contato via teams, ouve duplicidade na ordem.
Vimos que a ordem 1488650, gerou NF 131727.
O chamado foi validado pela usuária, sem mais ação do suporte EBS, estamos encerrando o chamado.
Att,
Equipe EBS</t>
  </si>
  <si>
    <t>INC447827T</t>
  </si>
  <si>
    <t>Prezados
Estou fazendo nota normalmente no ebs de insumos só que não está imprimindo, já várias tentativas e não sai impressão
Nº de Imobilizado: 2753089
Há quanto tempo persiste o erro? Hoje dia 20/06
Número da sua funcional: 001205297
Número da sua loja: 610
Telefone para contato (que receba Whatsapp): (43)99161-2403
Horários que podemos entrar em contato: após as 14h</t>
  </si>
  <si>
    <t>Olá, tudo bem?
A ordem 1496507, gerou:
NF: 68
Chave: 41260692754738053797550030000000681660327240
Att,
Equipe EBS</t>
  </si>
  <si>
    <t>INC444921T</t>
  </si>
  <si>
    <t>Bom dia, tudo bem? Estou com essas duas Ordens com o Destino Mainetti, as quais não querem mudar seu Status de "Preenchido" para "Fechado" no EBS, impossibilitando de Submeter essas Ordens.
Conseguem me ajudar?</t>
  </si>
  <si>
    <t>Sergio</t>
  </si>
  <si>
    <t>Informamos que o processamento das ordens com destino Mainetti foi concluído com sucesso e o status foi devidamente atualizado para "Fechado" no Oracle EBS, permitindo que fossem submetidas.
Após validação, confirmamos que não há pendências pendentes relacionadas a esta solicitação. Sendo assim, estamos encerrando este atendimento.
Permanecemos à disposição para suporte futuro, caso necessário.
Atenciosamente,
Equipe EBS</t>
  </si>
  <si>
    <t>Bom dia, tudo bem?
Estou com essas duas Ordens com o Destino Mainetti, as quais não querem sair a NF no EBS.
Conseguem me ajudar?</t>
  </si>
  <si>
    <t>Olá, tudo bem?
Ordem 1492309: 
NF 132351
Chave 42260692754738027281550030001323511033028671
Ordem 1492311:
NF 132331
Chave 42260692754738027281550030001323311630267509
Com esses dados você consegue conferir no notamax.
Att,
Equipe EBS</t>
  </si>
  <si>
    <t>INC444533T</t>
  </si>
  <si>
    <t>Solicito verificação nas ordens as mesmas nao estão gerando NF.
Ordem 1491960 , 1485352</t>
  </si>
  <si>
    <t>Chamado encerrado com a validação do ususário.
Att,
Equipe EBS</t>
  </si>
  <si>
    <t>INC447180T</t>
  </si>
  <si>
    <t>Título do Chamado:
Erro ao emitir nota de transferência de imobilizado – Método de entrega
Descrição:
O colaborador informa que está tentando emitir uma nota de transferência de imobilizado para o CD 324, porém não consegue concluir a emissão devido a um erro relacionado ao campo “método de entrega”, mesmo estando preenchido automaticamente ao inserir a lista de preços. Ao prosseguir com o processo, o sistema apresenta a mensagem solicitando o preenchimento do campo “método de entrega”. 
Dados do colaborador:
Número nota: Não gerada
Número da funcional: Não informada
Número da loja: 613
Telefone para contato (WhatsApp): (79) 98150-5223</t>
  </si>
  <si>
    <t>Vitoria</t>
  </si>
  <si>
    <t>SH PRAIA SUL</t>
  </si>
  <si>
    <t>Informamos que os ajustes necessários para a correção do erro no campo "método de entrega" durante o processo de emissão da nota de transferência de imobilizado para o CD 324 foram concluídos com sucesso. A parametrização foi regularizada, permitindo que a emissão ocorra sem novas inconsistências.
Confirmamos que não há pendências relacionadas a esta solicitação e estamos realizando o encerramento do chamado. Permanecemos à disposição para suporte futuro.
Atenciosamente,
Equipe EBS</t>
  </si>
  <si>
    <t>INC449328T</t>
  </si>
  <si>
    <t>Olá, tudo bem?
Poderiam verificar o saldo do ativo: 1199554, por gentileza?
Não estou conseguindo gerar a NF mesmo com o saldo no cd324. 
Chamado de exemplo anterior, para ajudar na resolução: INC4189445
Desde já, grato!</t>
  </si>
  <si>
    <t>1482346
1482815
1490461
OM_OPERACIONAL__L324
eu gerei essas 3 ordens para processo de doação. Fiz todo o processo, registrei elas, fiz aquele esquema de ir em solicitaç. "submeter". Tudo certo até então.
Porém, quando chego nessa parte de ver o numero da NF, não tá aparecendo o numero dela.</t>
  </si>
  <si>
    <t>Foi identificado que o processamento das ordens de doação 1482346, 1482815 e 1490461 foi concluído com sucesso, sendo os números das respectivas Notas Fiscais gerados e devidamente disponibilizados para consulta no sistema.
Confirmamos que o fluxo foi finalizado corretamente e não há pendências relacionadas a este chamado. Diante disso, estamos prosseguindo com o encerramento deste atendimento.
Permanecemos à disposição para suporte futuro, caso necessário.
Atenciosamente,
Equipe EBS</t>
  </si>
  <si>
    <t>INC450370T</t>
  </si>
  <si>
    <t>Prezados,
Colaborador(a) entra em contato com Service Desk e relata estar com problema com uma NF de transferência de imobilizado.
— Colaboradora informa: Fiz uma NF de transferência de imobilizado, mas a nota não imprimi, não sai dessa tela
A solicitação é 101654289
Já fui em RENOVAR DADOS mas não sai a nota
Fica so travado na tela da imagem.
🧪 Testes já realizados
— Ajustamos a impressora a mesma funciona mas nao imprime a nota 
— Testou em guia anonima – sem sucesso.
— Testou em outro navegador – sem sucesso.
— Outro colaborador testou – sem sucesso.
❗ Informações Obrigatórias:
🔹 Número da sua Funcional:001167596
🔹 Número da sua Loja:723
📱 Telefone para contato (com WhatsApp):21982342967
Atenciosamente,
Service Desk ☕
Assistente de TI</t>
  </si>
  <si>
    <t>Ashua</t>
  </si>
  <si>
    <t>ASHUA SH VITORIA</t>
  </si>
  <si>
    <t>INC453424T</t>
  </si>
  <si>
    <t>Solicito verificação no ativo 12714829 o mesmo aparece a mensagem de trancado</t>
  </si>
  <si>
    <t>INC448975T</t>
  </si>
  <si>
    <t>Solicito verificação nas ordens as mesma estão com erro na NF abaixo:
Ordem 1495529 NF 1268
Rejeição: NF-e sem informação de ICMS / ISSQN Data - 6/19/2026 9:38:05 AM</t>
  </si>
  <si>
    <t>INC458372T</t>
  </si>
  <si>
    <t>Travou o concorrente e a nota não sai, socorro.</t>
  </si>
  <si>
    <t>Olá, tudo bem? 
O meu EBS não está rodando os concorrentes para assim seguri com a SLIP para ativação, segue PRINT 
Os dois concorrentes em verde são as tentativas de ativação que não seguiram</t>
  </si>
  <si>
    <t>Thays</t>
  </si>
  <si>
    <t>Identificamos que a execução dos concorrentes para ativação da SLIP foi processada e concluída com sucesso, permitindo que o procedimento de ativação fosse finalizado corretamente.
Confirmamos que o fluxo foi concluído e não há pendências em aberto. Diante disso, estamos procedendo com o encerramento deste chamado.
Permanecemos à disposição para qualquer suporte futuro.
Atenciosamente,
Equipe EBS</t>
  </si>
  <si>
    <t>INC457759T</t>
  </si>
  <si>
    <t>Bom dia, tudo bem?
Estamos com dificuldade para gerar notas fiscais. Ao informar o número da ordem, o sistema não está aceitando/processando a informação. Além disso, ao atualizar os dados para que a nota suba para o Notamax, o processo não fica como concluído.
Podem verificar, por favor?</t>
  </si>
  <si>
    <t>Informamos que as análises e correções necessárias no processamento das ordens e na integração de envio para o Notamax foram concluídas com sucesso. Confirmamos que o sistema voltou a aceitar as informações de faturamento e que os processos estão sendo finalizados sem pendências. Diante disso, estamos procedendo com o encerramento deste chamado, permanecendo à disposição para suporte futuro caso necessário.
Atenciosamente,
Equipe EBS</t>
  </si>
  <si>
    <t>INC454898T</t>
  </si>
  <si>
    <t>Gerei todas as ordens aproximadamente 9:30h do dia de hoje, submeti elas e até o momento as notas não foram geradas, naõ consigo prosseguir com o envio dos Pallets para a expedição, os pallets precisam ir para os seus Cd's conciliadores para chegarem as lojas, processo do Almoxarifado Central.</t>
  </si>
  <si>
    <t>Olá,
Conforme retorno do usuário chamado sendo encerrado sem ação do time de suporte.
Att
Equipe EBS</t>
  </si>
  <si>
    <t>Solicito verificação na NF dessa ordem a mesma não está virando saldo para OM L30099, ja fiz o acusamento da NF e o saldo não vira</t>
  </si>
  <si>
    <t>INC455630T</t>
  </si>
  <si>
    <t>Ordem submetida mas não gera nota fiscal</t>
  </si>
  <si>
    <t>INC456643T</t>
  </si>
  <si>
    <t>Solicito verificação da ordem a mesma não enviou a NF para notamax, NF 1895</t>
  </si>
  <si>
    <t>INC454893T</t>
  </si>
  <si>
    <t>Não consigo submeter ambas as notas, assim impedindo que a NF seja gerada, segue duas ordens que gerei a NF no L114 e não obtive sucesso.</t>
  </si>
  <si>
    <t>Olá,
Chamado sendo encerrado conforme solicitado pela usuária.
Identificaram o erro no processo.
Att
Equipe EBS</t>
  </si>
  <si>
    <t>INC455717T</t>
  </si>
  <si>
    <t>Prezados,
Colaborador(a) entra em contato com Service Desk e relata estar com problema na Nota de uso e consumo que não carrega no EBS.
— Usuária está tentando emitir uma nota de uso e consumo no módulo OM do EBS, porém a nota não carrega. Ao questionar se o problema ocorria apenas no NotaMax, a usuária informou que a nota não carrega nem no EBS nem no NotaMax.
Foi solicitado evidência do problema, e a usuária enviou um vídeo mostrando que, ao acessar a nota no EBS, ela permanece em carregamento e não conclui o processamento.
❗ Informações Obrigatórias:
🔹 Informe o número da ordem de venda com problema: 1516497
🔹 Número da sua Funcional: 001201474
🔹 Número da sua Loja:239
📱 Telefone para contato (com WhatsApp):11912037652
Atenciosamente,
Service Desk ☕
Assistente de TI</t>
  </si>
  <si>
    <t>SH CAMPINAS</t>
  </si>
  <si>
    <t>INC455734T</t>
  </si>
  <si>
    <t>Boa tarde, tudo bem?
Prezados, estou tentando fazer o acusamento manual de uma nota fiscal, mas o sistema não está permitindo. Não consigo concluir. Segue imagem em anexo.
Por favor, pode me auxiliar?</t>
  </si>
  <si>
    <t>Glese</t>
  </si>
  <si>
    <t>SH IGUATEMI BAHIA</t>
  </si>
  <si>
    <t>INC455181T</t>
  </si>
  <si>
    <t>Olá, tudo bem? Colaborador(a) entrou em contato relatando problema ao gerar nota de OM Operacional da loja. Vídeo em anexo, testou em dois computadores diferentes, mas erro persiste.
Nº da ordem: 1514195
Número da sua funcional:001201474
Número da sua loja:239
Telefone para contato (que receba Whatsapp):11912037652
Favor verificar, por gentileza.
Atenciosamente, 
Service Desk ☕</t>
  </si>
  <si>
    <t>Realizamos a análise da ocorrência e identificamos que a ordem ainda não havia sido registrada, etapa obrigatória para que o processo de emissão da Nota Fiscal seja executado corretamente.
Dessa forma, orientamos que seja realizado o registro da ordem, conforme demonstrado no print encaminhado em anexo. Após a conclusão dessa etapa, o processo de emissão da Nota Fiscal poderá ser executado novamente.
Com essa orientação, consideramos a demanda atendida e o chamado será encerrado. Caso, após o registro da ordem, a inconsistência persista, pedimos a gentileza de abrir um novo chamado encaminhando as evidências para continuidade da análise.
Atenciosamente,
Equipe EBS</t>
  </si>
  <si>
    <t>Olá, tudo bem?
Poderiam verificar o saldo do ativo: CM127933 , por gentileza?
Não estou conseguindo gerar a NF mesmo com o saldo no cd30099. 
Chamado de exemplo anterior, para ajudar na resolução: INC4189445
Desde já, grato!</t>
  </si>
  <si>
    <t>INC457758T</t>
  </si>
  <si>
    <t>Prezados,
Colaborador(a) entra em contato com Service Desk e relata estar com problema com nota no EBS.
— Nota nao esta subindo, fica como pendente no EBS
🧪 Testes já realizados
— Reiniciou – sem sucesso.
— Testou em outro navegador – sem sucesso.
❗ Informações Obrigatórias:
🔹 Informe o número da ordem de venda com problema: 1524103
🔹 Data: 24/08
🔹 Número da sua Funcional: 001205256
🔹 Número da sua Loja: 404
📱 Telefone para contato (com WhatsApp): 13996279826
📱 Segunda opção de WhatsApp (caso esteja indisponível): 13996279826
Atenciosamente,
Service Desk ☕
Assistente de TI</t>
  </si>
  <si>
    <t>Fernanda</t>
  </si>
  <si>
    <t>LJ DE SAO VICENTE</t>
  </si>
  <si>
    <t>Informamos que a situação da nota fiscal que se encontrava pendente no Oracle EBS foi analisada e devidamente regularizada. Foi confirmado que o documento foi processado e integrado com sucesso no sistema, não havendo mais impedimentos.
Como não identificamos pendências residuais relacionadas a este caso, estamos prosseguindo com o encerramento do chamado. Permanecemos à disposição para suporte em futuras necessidades.
Atenciosamente,</t>
  </si>
  <si>
    <t>INC457568T</t>
  </si>
  <si>
    <t>Solicito verificação no ativo 13333363 o mesmo está trancando e não consigo fazer transferência</t>
  </si>
  <si>
    <t>Relatórios gerados no querynaitor não estão concluindo para emissão</t>
  </si>
  <si>
    <t>INC455210T</t>
  </si>
  <si>
    <t>Boa tarde, tudo bem?
Estamos devolvendo um equipamento BLUEBIRD para conserto de manutenção, com a seguinte orientação:
Olá, tudo bem?
Iremos realizar a manutenção e devolveremos um dispositivo totalmente REPARADO e FUNCIONAL para sua loja.
Para que a coleta ou postagem ocorra a NF deve ser emitida para o CD324 como transferência de imobilizado e anexada neste chamado.
Assim que emitida a NF, será solicitada a coleta/postagem através dos correios e a loja será avisada sobre as informações como data de coleta e demais orientações.
Importante: A NF Não poderá ser emitida com o valor acima de R$ 35.571,17 caso a quantidade de equipamentos ultrapasse o valor estipulado a loja deverá emitir mais de uma NF.
Se a NF não for anexada em 5 dias o chamado será encerrado.
Ao gerar a NF o valor total ficou $$45.588,68. na solicitação foi recebido a seguinte orientação:
Olá, tudo bem?
Orientação para regularizar a situação:
Será necessário realizar abertura de chamado de EBS para entender o motivo do imobilizado (1122810) estar puxando 45K na linha.
Caminho: Portal de serviço(Portal de TI)&gt;&gt;Tenho um Problema&gt;&gt;Problema com operações no EBS
Lembrando que tratativa de Ativos não é atendida pela nossa equipe de SPARE.</t>
  </si>
  <si>
    <t>Nayara</t>
  </si>
  <si>
    <t>SH PARQUE BELEM</t>
  </si>
  <si>
    <t>INC455117T</t>
  </si>
  <si>
    <t>Olá, tudo bem?
Prezados, no dia 14/07, gerei uma NF (155753) para loja 532 de  7 imobilizados. 
Porém, o saldo deles não virou para o destinatário até o dia de hoje; ainda consta no 324.
12557309
12491744
12491048
1257680
12714195
12712859
12492023
Poderia verificar, por favor?</t>
  </si>
  <si>
    <t>INC457055T</t>
  </si>
  <si>
    <t>Ao acessar o EBS para emitir NF ,seja Imobilizado ou uso /consumo,aparece a mensagem de "validacao falhou para o campo -vendedor " o tempo todo que estou emitindo a nf ate finalizarf,segue imagem da mesma .</t>
  </si>
  <si>
    <t>INC440379T</t>
  </si>
  <si>
    <t>Olá, tudo bem? 
Essa ordem após ter a distribuição 1279537 ser fechada e a ordem 1485775 submetida mais de duas vezes na parte da manhã a mesma não saiu o numero da nota. 
Solicito auxilio, tivemos alguns casos em que as notas sairam no dia seguinte.</t>
  </si>
  <si>
    <t>INC454884T</t>
  </si>
  <si>
    <t>Bom dia, Tudo bem? Estou apoiando o processo de fechamento da loja Ashua 703. Preciso de um auxílo, quanto as notas fiscais que estão com erro no SEFAZ. Emiti algumas ordens de transferência de imobilizado no dia 23/07, porém algumas notas ainda não saíram. E justamente as mais importantes.</t>
  </si>
  <si>
    <t>Caroline</t>
  </si>
  <si>
    <t>SH IBIRAPUERA</t>
  </si>
  <si>
    <t>INC457148T</t>
  </si>
  <si>
    <t>Olá, tudo bem?
Sou do time de cadastro e o fornecedor não está conseguindo receber o pagamento por motivos de dados inválidos, porém  não estou localizando o erro, conseguem me ajudaR?</t>
  </si>
  <si>
    <t>INC457412T</t>
  </si>
  <si>
    <t>Olá, tudo bem?
Colaborador(a) entrou em contato relatando que foi realizado uma abertura de requisição no EBS, porém não foi gerado a ORDEM. De acordo com a verificação pelo time de CSC, o prolema aparenta estar ocorrendo no OM. Poderiam verificar?
⚠️ Informações obrigatórias:
Número da REQ: 401187 e 401143
Número do chamado CSC: CSC1462242
Número da sua funcional:55237
Número da sua loja: 361
Telefone para contato (que receba Whatsapp): 55 991549849
📎Anexado imagem do Erro ❗Obrigatório❗
Agradecemos o suporte!
Atenciosamente...
Service Desk 💻</t>
  </si>
  <si>
    <t>Laura</t>
  </si>
  <si>
    <t>SH PRACA NOVA SANTA MARIA</t>
  </si>
  <si>
    <t>Distribuições fechadas corretamente, se mantem no status de linha entregue sendo que deveria seguir para interface estabelecida, ordens não geram nota fiscal</t>
  </si>
  <si>
    <t>INC454882T</t>
  </si>
  <si>
    <t>Olá, tudo bem?
Solicito que verifique a ordem pois estou tentando gerar uma NF de REM MERC OU BEM P/CONSERTO, porém a NF não esta saindo</t>
  </si>
  <si>
    <t>Ola Tudo Bem?
A tela de emissão de NF vinculada à responsabilidade _OM_OPERACIONAL_L654 está diferente das telas disponíveis em outras responsabilidades, como por exemplo  _OM_OPERACIONAL_L504 e _OM_OPERACIONAL_L324.
Na responsabilidade L654, a tela não apresenta todos os campos necessários para o preenchimento das informações exigidas para a geração da nota fiscal.
Foi aberto o chamado REQ0727277, no qual foi identificado que seria necessária uma revisão completa da configuração dessa responsabilidade. A área de Cadastro realizou os ajustes solicitados, porém o problema na tela continua ocorrendo.
caminho - _OM_OPERACIONAL_L654 - XXRNER - ORDENS DE VENDA RAPIDA.
Poderia verificarr?  Estamos com impacto na operação pois não conseguimos emitir nfs.
Segue evidências em anexo.</t>
  </si>
  <si>
    <t>Juliana</t>
  </si>
  <si>
    <t>INC441147T</t>
  </si>
  <si>
    <t>EBS - Oracle Periodic Average Costing (PAC)</t>
  </si>
  <si>
    <t>Olá, tudo bem?
Colaborador(a) entrou em contato relatando dificuldades ebs
🔍 Erro identificado: Colaborador entra em contato informando que esta com 1 nota de EBS criada no dia de ontem e não esta conseguindo cancelar, poderiam verificar?
Nº de Imobilizado:13605375
Nº da nota fiscal:95
Número da sua funcional:001197934
Número da sua loja:585
Telefone para contato (que receba Whatsapp):19 97162-8656
Segunda opção de contato, caso não esteja disponível:19981320217
📎Anexado imagem do Erro ❗Obrigatório❗
Agradecemos o suporte!
Atenciosamente...
Service Desk 💻</t>
  </si>
  <si>
    <t>Geovanna</t>
  </si>
  <si>
    <t>SH TIVOLI</t>
  </si>
  <si>
    <t>Informamos que o cancelamento da nota fiscal 95 foi concluído com sucesso. Confirmamos que não há pendências restantes associadas a este documento, razão pela qual estamos realizando o encerramento deste atendimento. Permanecemos à disposição para suporte futuro, caso necessário.
Atenciosamente,
Equipe EBS</t>
  </si>
  <si>
    <t>INC449707T</t>
  </si>
  <si>
    <t>EBS - Oracle Projects Account (PA)</t>
  </si>
  <si>
    <t>Estou incluindo verba neste projeto e no momento da aprovação ele dá um erro e não disponibiliza a verba no projeto.</t>
  </si>
  <si>
    <t>Erica</t>
  </si>
  <si>
    <t xml:space="preserve">[ ] Qual é o incidente?
Erro na aprovação do orçamento do projeto 220091.
O projeto não pode ser incluido na linha de base.
[ ] Por que aconteceu?
Houve um problema na checagem de fundos desse projeto, liberando saldos a mais do que o orçado.
Isso fez com que os saldos ficasse desbalanceados, e causando o impeditivo na inclusão de novos orçamentos.
GDF de correção orientado pela Oracle no chmado 3-39725221341:
Critical Data Fix Patch Released For Customers Using Funds Check Functionality in Project Costing (Doc ID 1538911.1)
[ ] Tratativa do incidente
Aplicado passos do GDF mencionado acima, mas não houve sucesso.
Correções aplicadas:
1 - Inabilitado o workflow no tipo de orçamento.
2 - Após areenvio para aprovação, executado o script abaixo:
--INC4497076
-- 3) Execução do datafix:
update pa_budget_versions
set budget_status_code = 'W'
,wf_status_code = null
--,burdened_cost = 0 -- utilizar somente para alterar orçamento preliminar. Não se aplica para a RIA atual
where project_id = 183059
and budget_version_id = 482577
and budget_status_code = 'S'
and wf_status_code = 'IN_ROUTE';
[ ] Cabe Melhoria?
Não
[ ] Cabe Causa raiz?
Conforme Oracle, os patchs de causa raiz estao já aplicados na base.
Esse problema não irá ocorrer para projetos novos.
PRB0056584
</t>
  </si>
  <si>
    <t>INC453431T</t>
  </si>
  <si>
    <t>Estou incluindo uma verba neste projeto,  mas quando clico em submeter aparece uma janela com um erro. Segue em anexo o erro apresentado.</t>
  </si>
  <si>
    <t>[ ] Qual é o incidente?
Ao submeter aprovação do projeto 260355 informa a seguinte mensagem ""Para um Projeto ativado por controle Orçamentário, a Quantia Total de orçamento deve ser zero em Nível de projeto."
[ ] Por que aconteceu?
Havia saldos em tarefas negativo, o que acarreta o erro na página.
[ ] Tratativa do incidente
Em contato com a Erica através do Teams, ela conseguiu retirar o saldo de 61.000,00 que estava negativo e passou por aprovação com sucesso.
[ ] Cabe Melhoria?
Não
[ ] Cabe Causa raiz?
Não</t>
  </si>
  <si>
    <t>INC453174T</t>
  </si>
  <si>
    <t>foi realizado o chamado - CSC1341142 para compra de carrinhos na operação mas o mesmo evidência que não possui orçamento no projeto desta forma apresentando erros, mas revisitado orçamento do projeto junto ao gerente da área e possuimos orçamento nesse projeto, favor realizar ajuste para que pare de travar a vinculação do projeto na compra dos carrinhos</t>
  </si>
  <si>
    <t>Gabriel</t>
  </si>
  <si>
    <t>Olá,
Conforme análise em todos os relatórios de Saldos Orçado - Realizado - Compromisso,
Vimos que, para o projeto 250241 tem saldo negativo, onde o motivo da falha na reserva.
Peço que entre em contato com o setor de Planejamento para incluir verba ao projeto, caso contrário, a PO não será validada.
Por não ter mais ação do suporte, chamado está sendo encerrado.
Att.
Equipe EBS</t>
  </si>
  <si>
    <t>INC454991T</t>
  </si>
  <si>
    <t>Olá, tudo bem?
Colaborador(a) entrou em contato relatando que realizou uma transferência no sistema no Sábado 25/07 e até o momento não foi liberado no RCS e Velocity para verificação.
⚠️ Informações obrigatórias:
ASN:  906061754
Número da sua funcional: 001212344
Número da sua loja: 301 
Telefone para contato (que receba Whatsapp): 027997366865 
Segunda opção de contato, caso não esteja disponível: 027988810384 
📎Anexado imagem do Erro ❗Obrigatório❗
Agradecemos o suporte!
Atenciosamente...
Service Desk 💻</t>
  </si>
  <si>
    <t>Heloisa</t>
  </si>
  <si>
    <t>SH MONTSERRAT</t>
  </si>
  <si>
    <t>EBS - Oracle Purchasing (PO)</t>
  </si>
  <si>
    <t>Boa tarde, tudo bem?
precisamos de ajuda com os acordos de compra Viva - 1732933 e Petry - 2307633 que estão com erro, ao emitir PO ou RC ele puxa outro centro de custo e muda a conta contábil. 
Ja aberto chamado INC4564572 para verificar, porem o retorno dado não nos ajudou.
Os itens que estão com erro são: 
Itens Petry
000332469
000332470
000332472
000339029
Itens  Viva
000012899
000012898
000012897</t>
  </si>
  <si>
    <t>Richard</t>
  </si>
  <si>
    <t>INC459086T</t>
  </si>
  <si>
    <t>Bom dia!
Lentidão ao incluir anexos nas POs.</t>
  </si>
  <si>
    <t>Kassia</t>
  </si>
  <si>
    <t>Anotações de resolução copiado do incidente primário: *OPERAÇÕES TI &amp; CSC | INFORMA*
Ambiente: EBS
Empresa impactada:  BR.
Origem: Usuário
Sintoma: Erro ao logar no EBS.
Qual foi o impacto ao negócio: Acesso à aplicação esteve indisponível entre 10:54 e 11:04.
🔍 *SALA DE INVESTIGAÇÃO*
*Status: ✅ Normalizado*
Incidente: INC4590745
Problema: PRB0059681
Abertura: 03/09/2026 09:52
Resolução: 
&gt; *Causa:* Consumo elevado de CPU nos servidores da aplicação, impactando a performance e a capacidade de processamento do ambiente.
&gt; *Ação de Restabelecimento:* &gt; Foi realizado o restart dos serviços dos servidores impactados, restabelecendo a disponibilidade e o desempenho do ambiente EBS. Após a intervenção, os acessos foram normalizados e as validações realizadas pelas equipes confirmaram a retomada dos serviços sem novas ocorrências. O ambiente permaneceu estável durante o período de monitoramento, sendo considerado normalizado. O acompanhamento da causa raiz seguirá por meio do PRB0059681.
Aprovado por: Geovane Silva - Coordenador de Sistemas de TI
Mudança Implementada: N/A</t>
  </si>
  <si>
    <t>INC459624T</t>
  </si>
  <si>
    <t>Bom dia!
A PO 2894235, esta travada no processo de aprovação, não consigo ver em qual passo do workflow ela esta.
Poderiam me informar na dependência da aprovação de quem ela esta?
Obrigada!</t>
  </si>
  <si>
    <t>Gabrieli</t>
  </si>
  <si>
    <t>PO reenviada para aprovação, já aprovada.</t>
  </si>
  <si>
    <t>INC459678T</t>
  </si>
  <si>
    <t>Boa Tarde,
Fornecedores estão nos relatando que recebem os espelhos dos pedidos mais de uma vez.
A NObelPack disse que isso passou a ocorrer após o dia 04/09.
Anexo o e-mail recebido da Nobelpack e da Bold.
Precisamos que seja visto com urgência pois pode gerar faturamentos duplicados.</t>
  </si>
  <si>
    <t>Boa Tarde Ana,
Amanhã dia 11/08 terá uma parada no mailer do workflow e a aplicação de um patch.
Creio que com isso o problema será sanado.
Peço que informe ao fornecedor que se na segunda dia 14/08 o problema continuar, nos informe.
Att,
Equipe EBS</t>
  </si>
  <si>
    <t>INC459495T</t>
  </si>
  <si>
    <t>Fornecedor relata : "Nós temos acesso ao portal Oracle onde recebemos as POs, porém desde a semana passada acredito que o portal está com problema, pois está disparando e-mails repetitivos para nós, por exemplo: nós recebemos a PO por email, mas o email está vindo mais de 200x repetidos.Por exemplo, recebemos a PO 2855917-251 só que no e-mail está vindo mais de 100x o email repetido"
poderim verificar?
Número da sua funcional: 814178
nome da empresa: Ingecon Instalações Comerciais
Telefone para contato (que receba Whatsapp): 51 98116-5498
Segunda opção de contato, caso não esteja disponível: 51 98116-5491</t>
  </si>
  <si>
    <t>Boa Tarde Leticia,
Amanhã dia 11/08 terá uma parada no mailer do workflow e a aplicação de um patch.
Creio que com isso o problema será sanado.
Peço que informe ao fornecedor que se na segunda dia 14/08 o problema continuar, nos informe.
Att,
Equipe EBS</t>
  </si>
  <si>
    <t>INC458437T</t>
  </si>
  <si>
    <t>As RCs geradas referente ao acordo de compras 2873946, geram PO Direta e não uma PO de liberação.
Por favor podem verificar?
Exemplo da RC 402577 gerou a PO 2894241 - prints anexos</t>
  </si>
  <si>
    <t>Olá,
Conforme processo de TI, estamos cancelando o chamado após os 03 registros de contato no chamado na qual não tivemos retorno.
Att
Equipe EBS</t>
  </si>
  <si>
    <t>INC459172T</t>
  </si>
  <si>
    <t>Bom dia, tudo bem?
A PO 2889710 foi aprovada e retornou com status INCOMPLETO, podem verificar, por favor?</t>
  </si>
  <si>
    <t>Natalia</t>
  </si>
  <si>
    <t xml:space="preserve">Conforme conversamos via teams, o Guilherme está sem posição atrelada ao cadastro de funcionário desde o mês 07, por esse motivo ele não é mais aprovador.
</t>
  </si>
  <si>
    <t>INC442976T</t>
  </si>
  <si>
    <t>Boa tarde, tudo bem?
O aprovador Thiago Braga, saiu de ferias sem aprovar alguns pedidos e também não deixou regra de aprovação, poderiam por gentileza rejeitar os pedidos abaixo, para que eu possa encaminhar para outro aprovador?
2872697;
2871829;
2872634;
2871268;
RC - 393489;
RC - 393491;
2873274.</t>
  </si>
  <si>
    <t>Beatriz</t>
  </si>
  <si>
    <t>Olá,
PO's e req rejeitadas conforme solicitado.
Att.
Equipe EBS</t>
  </si>
  <si>
    <t>INC453062T</t>
  </si>
  <si>
    <t>Boa tarde, tudo bem?
solicito que rejeitem as PO's 2879125, 2879405, o aprovador está de férias e não deixou de regra de férias.</t>
  </si>
  <si>
    <t>Gizele</t>
  </si>
  <si>
    <t>Olá,
PO's rejeitadas conforme solicitado.
Att.
Equipe EBS</t>
  </si>
  <si>
    <t>INC454481T</t>
  </si>
  <si>
    <t>Por gentileza rejeitar essa PO, acabou encaminhando para aprovador errado, e o colaborador esta de férias, sem regra de férias.
É uma RC
398568</t>
  </si>
  <si>
    <t>Isabela</t>
  </si>
  <si>
    <t>[ ] Qual é o incidente?
PO foi encaminhando para aprovador errado, e o colaborador esta de férias, sem regra de férias.
[ ] Por que aconteceu?
PO foi encaminhando para aprovador errado, e o colaborador esta de férias, sem regra de férias.
[ ] Tratativa do incidente
Req 398568 rejeitada conforme solicitado.
[ ] Cabe Melhoria?
Não
[ ] Cabe Causa raiz?
Não</t>
  </si>
  <si>
    <t>INC458199T</t>
  </si>
  <si>
    <t>Estou com essas duas POs presas no qual não consigo excluir manualmente. Se tiver alguma forma gostaria de cancelassem/excluíssem.</t>
  </si>
  <si>
    <t>Franciele</t>
  </si>
  <si>
    <t>Bom dia!
POs excluídas do sistema.
Att,
Equipe EBS</t>
  </si>
  <si>
    <t>INC451459T</t>
  </si>
  <si>
    <t>Boa tarde, tudo bem?
Solicito verificação das POs 104628 / 104629, que estão no EBS como Pré-aprovadas, não sendo possível a aprovação na alçada do Coordenador.</t>
  </si>
  <si>
    <t>Melissa</t>
  </si>
  <si>
    <t xml:space="preserve">[ ] Qual é o incidente?
Solicito verificação das POs 104628 / 104629, que estão no EBS como Pré-aprovadas, não sendo possível a aprovação na alçada do Coordenador.
[ ] Por que aconteceu?
Não é Possível Aprovar Ordem de Compra-Padrão 104628 
 Error: Site do Fornecedor (VALUE=767305) não é um site do fornecedor de compras ativo e válido.
=================
Não é Possível Aprovar Ordem de Compra-Padrão 104629 
 Error: Site do Fornecedor (VALUE=767305) não é um site do fornecedor de compras ativo e válido.
[ ] Tratativa do incidente
Entrar em contato com o setor de cadastro para a reativação do site do fornecedor.
Para ajuste do cadastro de fornecedor por favor abra um chamado no portal CSC:
 https://.service-now.com/esc?id=sc_cat_item&amp;table=sc_cat_item&amp;sys_id=6d214c3f1b0882101e870e9fe54bcb4e 
CSC &gt; Gestão de Fornecedores &gt; Governança de fornecedores e parceiros &gt; Cadastro, homologação e monitoramento (atualização de dados)
Login - Employee Center
[ ] Cabe Melhoria?
Não
[ ] Cabe Causa raiz?
Não
</t>
  </si>
  <si>
    <t>INC457764T</t>
  </si>
  <si>
    <t>FAvor excluir essa PO ela subiu para aprovação do direto erroneamente, e não foi possivel a rejeição da PO pelos analistas.</t>
  </si>
  <si>
    <t>Henrique</t>
  </si>
  <si>
    <t>A PO 2892326 não existe lançada no oracle mais.</t>
  </si>
  <si>
    <t>INC450773T</t>
  </si>
  <si>
    <t>PO envida para aprovação, porem não aparece para aprovador, a Patrícia tentou  rejeitar pelo workflow porem esta com erro.
Print anexos</t>
  </si>
  <si>
    <t>Resolvido ou Fechado pelo Usuário</t>
  </si>
  <si>
    <t>Encerrado pelo solicitante</t>
  </si>
  <si>
    <t>INC453410T</t>
  </si>
  <si>
    <t>Solicito a recusa da PO, pois o aprovador não faz mais parte da companhia e precisará ser direcionado para outro aprovador.</t>
  </si>
  <si>
    <t>Confirmamos que a PO 2862970 foi rejeitada conforme solicitado, possibilitando o direcionamento do documento para um novo aprovador, uma vez que o aprovador anterior não faz mais parte da companhia.
Como a ação foi concluída com sucesso e não há outras pendências, estamos procedendo com o encerramento deste chamado. Permanecemos à disposição para suporte futuro, se necessário.
Atenciosamente,
Equipe EBS</t>
  </si>
  <si>
    <t>INC457751T</t>
  </si>
  <si>
    <t>bom dia, tudo bem,?
o cliente não esta conseguindo receber a RD, poderiam me ajudar? pois o cadastro está atualizado</t>
  </si>
  <si>
    <t xml:space="preserve">'- [ ] Qual é o incidente:  reembolsos de despesas nao localiza aprovador 
- [ ] Porque aconteceu:  escolhendo aprovador na hora de criar o reembolso e a pessoa estava com login invalido
- [ ] Tratativa do incidente:  pela regra deve deixar nulo o campo, e o sistema preenche automaticamente
- [ ] Cabe Causa Raiz:  nao
- [ ] Cabe Melhoria: nao 
- [ ] Cabe treinamento :  nao </t>
  </si>
  <si>
    <t>INC443346T</t>
  </si>
  <si>
    <t>Poderiam recusar a PO por gentileza?</t>
  </si>
  <si>
    <t>Olá,
PO 2870836 rejeitada conforme solicitado.
Att.
Equipe EBS</t>
  </si>
  <si>
    <t>INC449712T</t>
  </si>
  <si>
    <t>Dando continuidade ao chamado RITM0728946 - A RC 395485 VINCULOU A 2 ACORDOS DIFERENTES, NOS QUAIS DOIS DESTES, A FILIAL 275 NÃO ESTÁ VINCULADA.</t>
  </si>
  <si>
    <t>[ ] Qual é o incidente?
A RC 395485 VINCULOU A 2 ACORDOS DIFERENTES, NOS QUAIS DOIS DESTES, A FILIAL 275 NÃO ESTÁ VINCULADA.
[ ] Por que aconteceu?
Conforme anexo (Profiles_preferencia_IPROC.docx), as profiles POR : Preferências - Distribuição para Local e MO: Perfil de Segurança para a responsabilidade _PO_OPERACIONAL_L275, estavam com perfis de MOAC, ou seja, estavam abertos para todas as lojas da .
[ ] Tratativa do incidente
Pedi para Elisa fazer alteração, conforme ela foi realizado, mas não sofreu alterações.
Eu fiz a alteração das duas profiles para 275 - SH PATIO CIANE (275). Alteração registrado em meu usuário 959422.
[ ] Cabe Melhoria?
Necessário rever o cadastro de outras filiais para que não possa ocorrer com outras lojas.
[ ] Cabe Causa raiz?
Não</t>
  </si>
  <si>
    <t>INC456459T</t>
  </si>
  <si>
    <t>Solicito a recusa da PO 2887301, pois o aprovador saiu de férias e será necessário encaminhar para o Thiago Amaral</t>
  </si>
  <si>
    <t xml:space="preserve">Reiejtamos a aprovação da PO 2887301 para que possa ser encaminhada ao Thiago.
</t>
  </si>
  <si>
    <t>INC456658T</t>
  </si>
  <si>
    <t>Olá tudo bem? Poderia por gentileza verificar o cadastro do fornecedor CENTRO DE INTEGRAÇÃO EMPRESA ESCOLA DE MINAS GERAIS - CIEE/MG CNPJ 21.728.779/0001-36. O mesmo não consta mais no sistema do EBS para solicitar o pagamento da PO .</t>
  </si>
  <si>
    <t>Sabrina</t>
  </si>
  <si>
    <t>SH SETE LAGOAS</t>
  </si>
  <si>
    <t>INC448542T</t>
  </si>
  <si>
    <t>Olá, boa tarde. Tudo bem? 
Estamos enfrentando um problema no EBS, ao tentar emitir o documento da PO em PDF, realizamos o seguinte fluxo, conforme anexo, mas informa erro. 
Segue POs de exemplo: PO 2871144 |  PO 2871145
Nós do Núcleo de Atendimento ao cliente interno precisamos emitir os PDFs das POs, pois disponibilizamos essas informações através dos nossos atendimentos. 
O problema está afetando toda equipe, segue colaboradores afetados: 
SAMARA SANTOS DA SILVA - 1:172948
SHIRLEY RAMOS DE SOUZA - 1:113305
CHAUANA THAIS PESSOA DE LIZ BUENO - 1:184776
KETTELYN LEAO PEREIRA - 1:176595
RAÍSSA GUSTAVO OLIVEIRA - 1:111595</t>
  </si>
  <si>
    <t>Raissa</t>
  </si>
  <si>
    <t>[ ] Qual é o incidente?
 PO 2871144 |  PO 2871145 com erro ao emitir o PDF da OC.
Erro:
O sistema não pode gerar o arquivo PDF.
[ ] Por que aconteceu?
Ao debugar o erro, identificamos que o problema ocorre pq no cadastro de Estabelecimento do GL o endereço da 633 está vinculado a duas organizações, conforme anexo.
[ ] Tratativa do incidente
Feito a correção no cadastro do Estabelecimento pela Elisa Berni, e problema solucionado.
[ ] Cabe Melhoria?
Não
[ ] Cabe Causa raiz?
Não</t>
  </si>
  <si>
    <t>INC456444T</t>
  </si>
  <si>
    <t>Ola, tudo bem?
Poderiam recusar a PO, a mesma esta para a filial errada.</t>
  </si>
  <si>
    <t>Conforme solicitada pelo usuário, a aprovação da PO foi rejeitada.</t>
  </si>
  <si>
    <t>INC455467T</t>
  </si>
  <si>
    <t>Olá, tudo bem?
Colaborador(a) entrou em contato relatando dificuldades no EBS
🔍 Erro identificado:
Colaboradora informa que está enfrentando erro ao realizar compras Gimba no sistema EBS. Segundo relato, o problema ocorre apenas para esse tipo de compra, pois outras solicitações, como compras de sacolas, estão sendo realizadas normalmente. Solicitante relata que esse processo era executado sem dificuldades anteriormente e que, nesta data, o mesmo erro passou a ocorrer também com outras colegas da equipe.
🧪 Testes realizados:
(Configuração/reconfiguração do Java;
Limpeza de cache e dados do navegador;
Restauração das configurações padrão do Microsoft Edge.
Após os procedimentos, o problema permaneceu sem resolução.)
⚠️ Informações obrigatórias:
Nº de Imobilizado:
7000154
Número da sua funcional: 80360
Número da sua loja:166
Telefone para contato 31985457181 
📎Anexado imagem do erro relatado.
Agradecemos o suporte!
Atenciosamente...
Service Desk 💻</t>
  </si>
  <si>
    <t>Samanta</t>
  </si>
  <si>
    <t>SH ESTACAO BH</t>
  </si>
  <si>
    <t>[ ] Qual é o incidente?
Itens não aparecem na busca do iproc.
[ ] Por que aconteceu?
Pois acordos de muitos itens foram vencidos em 31/07/2026. 
[ ] Tratativa do incidente
Favor entrar em contato com a área de Suprimentos (dienifer.oliveira@lojas.com.br) para regularização dos acordos.
[ ] Cabe Melhoria?
Não
[ ] Cabe Causa raiz?
Não</t>
  </si>
  <si>
    <t>INC455374T</t>
  </si>
  <si>
    <t>Boa tarde, tudo bem?
Solicito, por gentileza, que rejeitem a PO 2887635, pois foi encaminhada para o aprovador incorreto, após a rejeição irei encaminhar para o certo.</t>
  </si>
  <si>
    <t>Olá,
Favor entrar em contato com o aprovador incorreto e solicitar que faça a rejeição que irá voltar para a aprovação anterior e ai poderá dar sequencia.
Não atuamos nesse tipo de ação operacional.
Att
Equipe EBS</t>
  </si>
  <si>
    <t>INC453883T</t>
  </si>
  <si>
    <t>Olá, tudo bem?
Solicito cancelamento das POs abaixo no EBS.
2605267
2605281
2623909
2707318</t>
  </si>
  <si>
    <t>Alterei o status das POs 2605267, 2605281, 2623909, 2707318 para incompleto, sendo agora possível a exclusão dos lançamentos manualmente.</t>
  </si>
  <si>
    <t>INC440771T</t>
  </si>
  <si>
    <t>Não estou conseguindo encaminhar as POs para os gestores da vertical ou de qualquer outra vertical.
Segue exemplo.</t>
  </si>
  <si>
    <t xml:space="preserve">[ ] Qual é o incidente?
Não estou conseguindo encaminhar as POs para os gestores da vertical ou de qualquer outra vertical.
[ ] Por que aconteceu?
Profile que permite o reencaminhamento não estava ativo para o colaborador.
[ ] Tratativa do incidente
Ativado como "SIM" a profile XXRNER - Responsabilidades Sem Restrição para Delegação para o usuário 001176388.
[ ] Cabe Melhoria?
Não
[ ] Cabe Causa raiz?
Não
</t>
  </si>
  <si>
    <t>INC442979T</t>
  </si>
  <si>
    <t>A RC 391780 foi aprovada porém, ficou com o status "pré-aprovado" sem gerar a liberação. Por favor, precisamos entender o motivo.</t>
  </si>
  <si>
    <t>[ ] Qual é o incidente?
Req ficou com status de Pré Aprovado.
[ ] Por que aconteceu?
Não é Possível Reservar Requisição de Compra 391780.
Motivo da falha de Reserva:
Nr. Linha1 Nr. da Distribuição1 Falha no controle orçamentário da transação no nível de projeto
Nr. Linha2 Nr. da Distribuição1 Ocorreu uma falha nesta transação, porque ocorreu uma falha em outra transação e não é permitido processamento parcial
[ ] Tratativa do incidente
Entrar em contato com o setor de Planejamento para que possam avaliar as condições e verba do projeto.
[ ] Cabe Melhoria?
Não
[ ] Cabe Causa raiz?
Não</t>
  </si>
  <si>
    <t>INC447167T</t>
  </si>
  <si>
    <t>Bom dia, tudo bem?
Solicito, por gentileza, que a PO 2872828 seja rejeitada, pois por algum erro de alçada, a PO subiu para o diretor e desconsiderando o valor, não era para ter acontecido.</t>
  </si>
  <si>
    <t>Olá,
PO rejeitada conforme solicitado.
Att.
Equipe EBS</t>
  </si>
  <si>
    <t>INC442983T</t>
  </si>
  <si>
    <t>A PO 2666544-3824 ficou com o status de Pré aprovada.
Desta forma não gerou o pedido para o fornecedor e a loja está sem sacolas.
Conseguem identificar o que ocorreu para não aprovar a PO</t>
  </si>
  <si>
    <t>[ ] Qual é o incidente?
PO ficou no status de Pré Aprovado.
[ ] Por que aconteceu?
A PO 2666544-3824, foi rejeitada pelos seguinte motivo:
Motivo da Falha de Reserva:
Nr. Linha10 Número da Entrega1 Nr. da Distribuição1 A data contábil não está em um período de empenho em aberto.
Nr. Linha10 Número da Entrega2 Nr. da Distribuição1 A data contábil não está em um período de empenho em aberto.
Nr. Linha11 Número da Entrega3 Nr. da Distribuição1 A data contábil não está em um período de empenho em aberto.
Nr. Linha11 Número da Entrega4 Nr. da Distribuição1 A data contábil não está em um período de empenho em aberto.
Nr. Linha12 Número da Entrega5 Nr. da Distribuição1 A data contábil não está em um período de empenho em aberto.
Nr. Linha12 Número da Entrega6 Nr. da Distribuição1 A data contábil não está em um período de empenho em aberto.
[ ] Tratativa do incidente
Retornei ao preparador para fazer os devidos ajustes ou cancelamento da PO.
[ ] Cabe Melhoria?
Não
[ ] Cabe Causa raiz?
Não</t>
  </si>
  <si>
    <t>INC442249T</t>
  </si>
  <si>
    <t>Olá, tudo bem?
Colaborador(a) entrou em contato relatando dificuldades no EBS.
🔍 Erro identificado:
Solicitante não consegue realizar a compra de tester, também não está sendo possível retirar os itens do carrinho. O sistema fica apenas carregando, até que surge a mensagem de "504 gateway time-out". Acessei a máquina e ajustei as configurações do Java, navegador padrão e limpeza de histórico, mas sem sucesso. Ocorre tanto na aba normal, quanto anônima. Poderiam verificar?
⚠️ Informações obrigatórias:
Módulo do EBS: Compras
Número da sua funcional: 001205704
Número da sua loja: 572
Telefone para contato (que receba Whatsapp): (35)99918-5595
📎Anexado imagem do erro relatado.
Agradecemos o suporte!
Atenciosamente...
Service Desk 💻</t>
  </si>
  <si>
    <t>SH LAVRAS</t>
  </si>
  <si>
    <t>Olá,
Feito a exclusão dos itens de seu carrinho. peço por gentileza que gere novamente sua requisição.
Reforço que uma grande quantidade de itens em um único pedido pode afetar a performance.
Se houver lentidão e erro de Gateway Time-out novamente, entre em contato com o setor de TI na área de redes para verificar se há algum impedimento.
Att.
Equipe EBS</t>
  </si>
  <si>
    <t>Preciso que a PO seja rejeitada para que possamos reenviá-la para aprovação, por favor?
Também não temos conhecimento de quem é Kelly Domingues(TECHFIRE BRASIL ENGENHARIA CONTRA INCENDIO LTDA), a pessoa que fez a última alteração na PO, podem verificar, por favor?</t>
  </si>
  <si>
    <t>Como não houve versionamento da PO, não envia novamente para aprovação.
Houve uma solicitação de alteração por parte do fornecedor, mas seria versionado somente se houvesse a aprovação do mesmo.
*******
Informamos que o status da PO foi alterado para "Incompleto", conforme solicitado. Foi identificado que a alteração na PO foi realizada por um contato cadastrado do fornecedor TECHFIRE BRASIL ENGENHARIA CONTRA INCENDIO LT.
Como a solicitação foi atendida e não há novas pendências, estamos concluindo o atendimento e encerrando este chamado. Permanecemos à disposição para suporte futuro.</t>
  </si>
  <si>
    <t>INC440762T</t>
  </si>
  <si>
    <t>Olá, tudo bem? 
Estamos com problemas de aprovações das PO Camicado. Está rejeitando automaticamente mesmo sendo aprovada. 
Segue anexo do erro.</t>
  </si>
  <si>
    <t>Informamos que as tratativas referentes a este chamado foram concluídas. Conforme o combinado, solicitamos que o envio seja realizado novamente para aprovação.
Orientamos que a Bruna acesse a responsabilidade CAMICADO_PO_OPERACIONAL e clique em Sumário de Notificações para realizar a aprovação por este caminho, ressaltando que o procedimento não deve ser feito através da lista de trabalho. Por favor, nos notifique assim que essa ação for concluída.
Com a finalização dos ajustes necessários e sem demais pendências, estamos procedendo com o encerramento do chamado. Permanecemos à disposição caso necessite de suporte futuro.
Atenciosamente,
Equipe EBS</t>
  </si>
  <si>
    <t>INC448614T</t>
  </si>
  <si>
    <t>O relatório está com erro, precisamos da correção.</t>
  </si>
  <si>
    <t>Olá,
Já haviamos passado informações à respeito do relatório RNER - Relatório de Requisições Aprovados no chamado abaixo:
INC4307142
07/05/2026 08:54
Natalia Thomas
Olá,
Conforme falamos via teams, o fonte desse relatório não existe na base, o que dá a entender que foi descontinuado.
Sugiro analisar os relatórios disponíveis no querynator e ver se algum deles atende sua necessidade.
Chamado sendo encerrado, pois não há ação do suporte.
Att.
Equipe EBS
OBS: Relatório foi inativado, para que não seja mais disponível para execução.</t>
  </si>
  <si>
    <t>INC443721T</t>
  </si>
  <si>
    <t>Bom Dia!
A RC 394747, com item 000009087, que é referente ao acordo de compras 2873946, não esta gerando PO de liberação. 
Já geramos um novo acordo de compras, para verificar se o problema estava no acordo de compras, mas continua não gerando a PO.
O sistema gerou uma Ordem de compra Padrão, porem a mesma fica incompleta não seguindo para aprovação e não vinculando ao Acordo de compras.
Excluímos essa Ordem de compras Padrão e tentamos empurrar para o Acordo de compras mas o sistema não permite.</t>
  </si>
  <si>
    <t>[ ] Qual é o incidente?
REQ não gerou liberação.
[ ] Por que aconteceu?
O concorrente "Criar Liberações" possui pendências travando o processamentos dos demais. 
[ ] Tratativa do incidente
Necessário regularizar todas as pendências informadas no log do concorrente.
Requisição 394469 Nr. Linha 4 A data contábil não está em um período de empenho em aberto.
Requisição 394469 Nr. Linha 5 A data contábil não está em um período de empenho em aberto.
Requisição 394469 Nr. Linha 3 A data contábil não está em um período de empenho em aberto.
Requisição 394469 Nr. Linha 1 A data contábil não está em um período de empenho em aberto.
Requisição 394469 Nr. Linha 2 A data contábil não está em um período de empenho em aberto.
Requisição 392504 Nr. Linha 10 A data contábil não está em um período de empenho em aberto.
Requisição 392504 Nr. Linha 12 A data contábil não está em um período de empenho em aberto.
Requisição 392504 Nr. Linha 9 A data contábil não está em um período de empenho em aberto.
Requisição 392504 Nr. Linha 13 A data contábil não está em um período de empenho em aberto.
Requisição 392504 Nr. Linha 19 A data contábil não está em um período de empenho em aberto.
Requisição 392504 Nr. Linha 18 A data contábil não está em um período de empenho em aberto.
Requisição 392504 Nr. Linha 30 A data contábil não está em um período de empenho em aberto.
Requisição 392504 Nr. Linha 7 A data contábil não está em um período de empenho em aberto.
Requisição 392504 Nr. Linha 3 A data contábil não está em um período de empenho em aberto.
Requisição 392504 Nr. Linha 20 A data contábil não está em um período de empenho em aberto.
Requisição 392504 Nr. Linha 27 A data contábil não está em um período de empenho em aberto.
Requisição 392504 Nr. Linha 14 A data contábil não está em um período de empenho em aberto.
Requisição 392504 Nr. Linha 5 A data contábil não está em um período de empenho em aberto.
Requisição 392504 Nr. Linha 8 A data contábil não está em um período de empenho em aberto.
Requisição 392504 Nr. Linha 26 A data contábil não está em um período de empenho em aberto.
Requisição 392504 Nr. Linha 23 A data contábil não está em um período de empenho em aberto.
Requisição 392504 Nr. Linha 28 A data contábil não está em um período de empenho em aberto.
Requisição 392504 Nr. Linha 17 A data contábil não está em um período de empenho em aberto.
Requisição 392504 Nr. Linha 29 A data contábil não está em um período de empenho em aberto.
Requisição 392504 Nr. Linha 22 A data contábil não está em um período de empenho em aberto.
Requisição 392504 Nr. Linha 11 A data contábil não está em um período de empenho em aberto.
Requisição 392504 Nr. Linha 21 A data contábil não está em um período de empenho em aberto.
Requisição 392504 Nr. Linha 6 A data contábil não está em um período de empenho em aberto.
Requisição 392504 Nr. Linha 16 A data contábil não está em um período de empenho em aberto.
Requisição 392504 Nr. Linha 31 A data contábil não está em um período de empenho em aberto.
Requisição 392504 Nr. Linha 24 A data contábil não está em um período de empenho em aberto.
Requisição 392504 Nr. Linha 4 A data contábil não está em um período de empenho em aberto.
Requisição 392504 Nr. Linha 25 A data contábil não está em um período de empenho em aberto.
Requisição 392504 Nr. Linha 15 A data contábil não está em um período de empenho em aberto.
Requisição 392504 Nr. Linha 2 A data contábil não está em um período de empenho em aberto.
Requisição 392504 Nr. Linha 1 A data contábil não está em um período de empenho em aberto.
[ ] Cabe Melhoria?
Não
[ ] Cabe Causa raiz?
Não</t>
  </si>
  <si>
    <t>INC441450T</t>
  </si>
  <si>
    <t>Boa tarde, tudo bem?
Emitimos PO 2866908, a qual foi aprovada, porém o item 000009064 não vinculou a natureza da transação.
Desta forma não é possível realizar o lançamento da nota.
Poderiam verificar para que apareça a natureza na PO existente, para que não seja necessário realizar todo o processo de aprovação novamente?</t>
  </si>
  <si>
    <t>Olá,
Atualizado a natureza da Transação para as demais linhas da PO, confome solicitado.
Att.
Equipe EBS</t>
  </si>
  <si>
    <t>INC447119T</t>
  </si>
  <si>
    <t>O acordo de compras  2876792 foi rejeitado pela Patrícia porem ficou preso. Não esta disponível para eu editar e também não aparece para aprovação da Patrícia.
Por favor conseguem rejeitar?</t>
  </si>
  <si>
    <t>[ ] Qual é o incidente?
Acordo  2876792 não foi rejeitada conforme esperado.
[ ] Por que aconteceu?
Ocorreu um erro no workflow no momento do processo de rejeição.
[ ] Tratativa do incidente
Reprocessado o wkf e acordo  2876792 foi rejeitado com sucesso.
[ ] Cabe Melhoria?
Não
[ ] Cabe Causa raiz?
Não</t>
  </si>
  <si>
    <t>INC446034T</t>
  </si>
  <si>
    <t>Boa tarde! Tudo bem?
Conforme anexo e chamado REQ0715500, o acordo de compras está em branco, impossibilitando a conferência para aprovação.
Segue evidência no dia de hoje e chamado anterior relatando este problema.
Obrigada e aguardo.</t>
  </si>
  <si>
    <t>[ ] Qual é o incidente?
As informações da PO do acordo de compras estão em branco, dificultando a aprovação.
[ ] Por que aconteceu?
É um bug da versão 12.2.13, já identificado pela Oracle.
Bug.36578585: 1OFF:36393370:R.TST12214: LINE DETAILS NOT DISPLAYED IN BPA APPROVAL NOTIFICATIO
[ ] Tratativa do incidente
Como solução de contorno, o aprovador deve entrar na responsabilidade de PO Operacional e consultar as linhas do acordo.
Para solução da causa raiz, foi aberto o ticket de problema (PRB0059296) para aplicar patchs sugeridos pela Ninecon.
[ ] Cabe Melhoria?
Não
[ ] Cabe Causa raiz?
Sim (PRB0059296)</t>
  </si>
  <si>
    <t>INC443753T</t>
  </si>
  <si>
    <t>Boa tarde, tudo bem poderiam, por favor rejeitar esta PO no sistema? foi enviado para o aprovador errado</t>
  </si>
  <si>
    <t>Felipe</t>
  </si>
  <si>
    <t>Olá,
Rejeitado conforme solicitado.
Att.
Equipe EBS</t>
  </si>
  <si>
    <t>INC447110T</t>
  </si>
  <si>
    <t>Boa tarde, a PO 2841736, precisa ser cancelada, mas, não está permitindo. Por gentileza, poderia verificar. A PO está com o status incompleta, precisamos que seja cancelada, foi algum erro que o concorrente não estava processando nesse período, após a atualização do sistema.</t>
  </si>
  <si>
    <t>Danifer</t>
  </si>
  <si>
    <t xml:space="preserve">[ ] Qual é o incidente?
A PO 2841736, precisa ser cancelada, mas, não está permitindo. Por gentileza, poderia verificar. A PO está com o status incompleta, precisamos que seja cancelada, foi algum erro que o concorrente não estava processando nesse período, após a atualização do sistema.
[ ] Por que aconteceu?
Erro no processo de upload da interface.
[ ] Tratativa do incidente
Aplicado script para o fechamento e cancelamento da OC 2841736.
[ ] Cabe Melhoria?
Não
[ ] Cabe Causa raiz?
Não
</t>
  </si>
  <si>
    <t>INC458315T</t>
  </si>
  <si>
    <t>EBS esta com erro 504 ao acessar o modulo  de carrinho de compra  
efetuamos a reinstalação do java para a aversão 121 e aas configurações padrões do java e navegador edge , limpamos o historico  
Nº de Imobilizado: 2688808
Número da sua funcional: 50635
Número da sua loja: 138
Telefone para contato (que receba Whatsapp): 11 93092-7410
Segunda opção de contato, caso não esteja disponível:</t>
  </si>
  <si>
    <t>Rosilene</t>
  </si>
  <si>
    <t>SH UNIAO OSASCO</t>
  </si>
  <si>
    <t>'@Rosilene Lopes dos Santos,
Não estamos com problemas de performance no ambiente, e nem outros requisitantes nos acionaram com esse questionamento.
Entendo que você esteja incluindo uma grande quantidade de itens no carrinho, e sua rede local não está comportando adequadamente conforme esperado.
Oriento a entrar em contato com sua TI local para verificação.
Como não houve retorno em tempo hábil, o chamado está sendo encerrado.
Att.
Equipe EBS</t>
  </si>
  <si>
    <t>INC454507T</t>
  </si>
  <si>
    <t>PO fica com o status 'em andamento' mesmo após minha gerente aprova-la.
Minha gerente é a Cristina Sakura e o CC é o 1302</t>
  </si>
  <si>
    <t>Alessandra</t>
  </si>
  <si>
    <t>[ ] Qual é o incidente?
PO fica com o status 'em andamento' mesmo após minha gerente aprova-la.
[ ] Por que aconteceu?
A PO 2885443 tem a seguinte combinação: 001.00015.3202031001.1301.000.000.000.
A aprovadora CRISTINA SAKURA GERAB tem atribuição para aprovar somente po's com o CC 1302. Por isso continua em Em Andamento, pois ele busco o próximo aprovador do nível acima, até encontrar um aprovador que tenha essas atribuições.
[ ] Tratativa do incidente
Solicitar a aprovação de MARINA DIAS ANDREAZZA, que possui atribuições de aprovação para o CC 1301.
[ ] Cabe Melhoria?
Não
[ ] Cabe Causa raiz?
Não</t>
  </si>
  <si>
    <t>INC448908T</t>
  </si>
  <si>
    <t>Prezados,
Gostaria de abrir um incidente em Relação a um lançamento de PO que estou tentando realizar.
Solicitei a criação de uma PO para o fornecedor CURUPIRA S A (Centro de Custo: 0102 / Código do Item: 101109). Porém, ao tentar gerar a PO via EBS, o sistema recusa o lançamento e retorna a seguinte mensagem de erro:
"App-po-14040: Informe uma conta de débito válida."
Alinhei a situação com a Assistente de Suprimentos, Kássia, e com a Analista Contábil, Camila. Tanto a equipe de Suprimentos quanto a de Contabilidade confirmaram que as parametrizações contábeis estão corretas e me orientaram a abrir este chamado (INC) com o time de TI.
Poderiam verificar, por gentileza?
Número da sua funcional: 001137878
Número da sua loja: 015 - ADM
Telefone para contato (que receba Whatsapp): 11911887871
Segunda opção de contato, caso não esteja disponível: 12991198080
📎Anexado imagem do(a) ❗Obrigatório❗ 
Atenciosamente, Service Desk 💻   
Assistente de TI</t>
  </si>
  <si>
    <t>Vitor</t>
  </si>
  <si>
    <t>[ ] Qual é o incidente?
Solicitei a criação de uma PO para o fornecedor CURUPIRA S A (Centro de Custo: 0102 / Código do Item: 101109). Porém, ao tentar gerar a PO via EBS, o sistema recusa o lançamento e retorna a seguinte mensagem de erro:
"App-po-14040: Informe uma conta de débito válida."
[ ] Por que aconteceu?
Na loockup RNER_GL_TIPO_CENTRO_DE_CUSTO o centro de custo 0102 estava associado a LOJA / ADM / CD, que no qual não tinha nenhuma associação com conta.
[ ] Tratativa do incidente
Em contato via Teams, a analista Camila Perguer alterou o nome do CC 0102 para LOJA, onde já possuia as atribuições.
[ ] Cabe Melhoria?
Não
[ ] Cabe Causa raiz?
Não</t>
  </si>
  <si>
    <t>INC453823T</t>
  </si>
  <si>
    <t>Boa tarde!
Tudo bem?
Solicito, por gentileza, a rejeição da PO 2879322, pois, devido a algum erro, ela foi encaminhada até o Diretor.
Com a rejeição, conseguirei realizar os ajustes necessários e reenviá-la para o aprovador correto.</t>
  </si>
  <si>
    <t>Rejeitei a aprovação da PO 2879322. Peço que encaminhe para aprovação novamente.</t>
  </si>
  <si>
    <t>INC449288T</t>
  </si>
  <si>
    <t>Olá, tudo bem?
O status da RC está como pré-aprovada e por este motivo não vincula ao acordo correspondente. Precisamos de solução.</t>
  </si>
  <si>
    <t>Olá,
Req  388388 está pré aprovada, pelo seguinte motivo:
Não é Possível Reservar Requisição de Compra 388388.
 Motivo da falha de Reserva: 
 Nr. Linha22 Nr. da Distribuição1 Não existe orçamento no nível do projeto
 Nr. Linha23 Nr. da Distribuição1 Não existe orçamento no nível do projeto
 Nr. Linha24 Nr. da Distribuição1 Não existe orçamento no nível do projeto
 Nr. Linha25 Nr. da Distribuição1 Não existe orçamento no nível do projeto
 Nr. Linha26 Nr. da Distribuição1 Não existe orçamento no nível do projeto
 Nr. Linha27 Nr. da Distribuição1 Não existe orçamento no nível do projeto
 Nr. Linha28 Nr. da Distribuição1 Não existe orçamento no nível do projeto
 Nr. Linha29 Nr. da Distribuição1 Não existe orçamento no nível do projeto
 Nr. Linha30 Nr. da Distribuição1 Não existe orçamento no nível do projeto
 Nr. Linha31 Nr. da Distribuição1 Não existe orçamento no nível do projeto
 Nr. Linha32 Nr. da Distribuição1 Não existe orçamento no nível do projeto
 Nr. Linha33 Nr. da Distribuição1 Não existe orçamento no nível do projeto
 Nr. Linha34 Nr. da Distribuição1 Não existe orçamento no nível do projeto
 Nr. Linha35 Nr. da Distribuição1 Não existe orçamento no nível do projeto
 Nr. Linha36 Nr. da Distribuição1 Não existe orçamento no nível do projeto
 Nr. Linha37 Nr. da Distribuição1 Não existe orçamento no nível do projeto
 Nr. Linha59 Nr. da Distribuição1 Não existe orçamento no nível do projeto
 Nr. Linha60 Nr. da Distribuição1 Não existe orçamento no nível do projeto
 Nr. Linha61 Nr. da Distribuição1 Não existe orçamento no nível do projeto
 Nr. Linha62 Nr. da Distribuição1 Não existe orçamento no nível do projeto
 Nr. Linha63 Nr. da Distribuição1 Não existe orçamento no nível do projeto
 Nr. Linha64 Nr. da Distribuição1 Não existe orçamento no nível do projeto
 Nr. Linha38 Nr. da Distribuição1 Não existe orçamento no nível do projeto
 Nr. Linha39 Nr. da Distribuição1 Não existe orçamento no nível do projeto
 Nr. Linha40 Nr. da Distribuição1 Não existe orçamento no nível do projeto
 Nr. Linha41 Nr. da Distribuição1 Não existe orçamento no nível do projeto
 Nr. Linha42 Nr. da Distribuição1 Não existe orçamento no nível do projeto
Favor entrar em contato com a equipe de Planejamento para que possa inserir saldo no projeto.
Att.
Equipe EBS</t>
  </si>
  <si>
    <t>Recebi o informativo de erro de reserva de duas RCs (conforme anexo), não sendo possível a emissão da PO guarda chuva. Foi solicitado no e-mail que entrasse em contato com o administrador para a resolução. Poderia verificar, por gentileza?</t>
  </si>
  <si>
    <t>Esse problema já foi identificado anteriormente e foi criado um concurrent que reprocessa os pré-aprovados a cada 10 min.</t>
  </si>
  <si>
    <t>INC455176T</t>
  </si>
  <si>
    <t>Bom dia, tudo bem?
Estou com problema no acesso do AP Consulta do EBS, ao digitar o número da NF ou PO para consulta de pagamento ou previsão de pagamento a consulta não é realizada e pesquisada, já solicitei a outras pessoas para fazerem o teste e em outro usuário é possível consultar. Com frequencia consulto notas para pagamento e desde ontem está com esse problema. Deixo uma PO e uma nota para exemplo: PO :2881464  NF:955306</t>
  </si>
  <si>
    <t>Naiara</t>
  </si>
  <si>
    <t>Olá,
Chamado encerrado pois conforme informado, resolvido pelo usuário.
Att.
Equipe EBS</t>
  </si>
  <si>
    <t>INC455755T</t>
  </si>
  <si>
    <t>Olá, tudo bem?
Colaborador(a) entrou em contato relatando dificuldades no EBS
🔍 Erro identificado:
Colaboradora informa que está enfrentando erro ao realizar compras Gimba no sistema EBS. Segundo relato, o problema ocorre apenas para esse tipo de compra, pois outras solicitações, como compras de sacolas, estão sendo realizadas normalmente. Solicitante relata que esse processo era executado sem dificuldades anteriormente e que, nesta data, o mesmo erro passou a ocorrer também com outras colegas da equipe.
🧪 Testes realizados:
(Configuração/reconfiguração do Java;
Limpeza de cache e dados do navegador;
Restauração das configurações padrão do Microsoft Edge.
Após os procedimentos, o problema permaneceu sem resolução.)
⚠️ Informações obrigatórias:
Número da sua funcional:001207146
Número da sua loja:587
Telefone para contato (que receba Whatsapp):12997579572
Segunda opção de contato, caso não esteja disponível:12996542434
📎Anexado imagem do erro relatado.
Agradecemos o suporte!
Atenciosamente...
Service Desk 💻</t>
  </si>
  <si>
    <t>LJ CAMPOS DO JORDAO</t>
  </si>
  <si>
    <t>usar o Edge &gt; Configurações &gt; Pesquisar "Cache" &gt; limpar cache (desflegar cookies e permissões, o restante deixar flegado).
Pesquisar &gt; Internet &gt; Inserir o site do oracle nas permissões.
Fechar toda a internet e abrir novamente para testar.</t>
  </si>
  <si>
    <t>INC455446T</t>
  </si>
  <si>
    <t>Colaboradora alega estar com erro pra efetuar compras Gimba no EBS , alega ocorrer apenas com este tipo   e que com outras coisas como compras de sacolas esta conseguindo , relata que sempre conseguia efetuar este tipo de compra mas hoje ocorre erro para ela e suas colegas , efetuamos configuração de java , limpeza de navegador e configurações do edge padrões sem exito , poderiam verificar? 
resumo do que ocorre : Não consigo fazer compra externa no ebs
imobilizado da maquina: 2753086
Número da sua funcional: 001210195
Número da sua loja: 618
Telefone para contato (que receba Whatsapp):11 964019395
Segunda opção de contato, caso não esteja disponível:</t>
  </si>
  <si>
    <t>SH FERNANDOPOLIS</t>
  </si>
  <si>
    <t xml:space="preserve">[ ] Qual é o incidente?
Item 000014053 não aparece no Iproc para fazer compras.
[ ] Por que aconteceu?
Todos os acordos vinculados ao item 000014053 foram encerrados em 31/03/2026 23:59:59.
[ ] Tratativa do incidente
Favor entrar em contato com a área de Suprimentos (dienifer.oliveira@lojas.com.br) para regularização dos acordos de compra.
[ ] Cabe Melhoria?
Não
[ ] Cabe Causa raiz?
Não
</t>
  </si>
  <si>
    <t>INC455461T</t>
  </si>
  <si>
    <t>Prezados,
Colaborador(a) entra em contato com Service Desk e relata estar com problema para realizar as compras externas no Oracle EBs.
— Colaboradora alega estar com erro pra efetuar compras Gimba no EBS , alega ocorrer apenas com este tipo   e que com outras coisas como compras de sacolas esta conseguindo , relata que sempre conseguia efetuar este tipo de compra mas hoje ocorre erro para ela e suas colegas , efetuamos configuração de java , limpeza de navegador e configurações do edge padrões sem exito
🧪 Testes já realizados
— Testou em guia anônima – sem sucesso.
— Testou em outro computador – sem sucesso.
— Testou em outro navegador – sem sucesso.
— Outro colaborador testou – sem sucesso.
❗ Informações Obrigatórias:
🔹 Número da sua Funcional:001134195
🔹 Número da sua Loja:276
📱 Telefone para contato (com WhatsApp):11.930926178
Atenciosamente,
Service Desk ☕
Assistente de TI</t>
  </si>
  <si>
    <t>Magnoria</t>
  </si>
  <si>
    <t>SH IG SAO CARLOS</t>
  </si>
  <si>
    <t xml:space="preserve">[ ] Qual é o incidente?
Item 000013082 não aparece no Iproc para fazer compras.
[ ] Por que aconteceu?
Todos os acordos vinculados ao item 000013082 foram encerrados em 31/07/2026 23:59:59.
[ ] Tratativa do incidente
Favor entrar em contato com a área de Suprimentos (dienifer.oliveira@lojas.com.br) para regularização dos acordos de compra.
[ ] Cabe Melhoria?
Não
[ ] Cabe Causa raiz?
Não
</t>
  </si>
  <si>
    <t>INC455458T</t>
  </si>
  <si>
    <t>Colaboradora alega estar com erro pra efetuar compras Gimba no EBS , alega ocorrer apenas com este tipo   e que com outras coisas como compras de sacolas esta conseguindo , relata que sempre conseguia efetuar este tipo de compra mas hoje ocorre erro para ela e suas colegas , efetuamos configuração de java , limpeza de navegador e configurações do edge padrões sem exito , poderiam verificar? 
Nº de Imobilizado da maquina:2303324
Número da sua funcional: 001191023
Número da sua loja: 077
Telefone para contato (que receba Whatsapp): 67 99850-8450
Segunda opção de contato, caso não esteja disponível: 67 99890-5710</t>
  </si>
  <si>
    <t>Celena</t>
  </si>
  <si>
    <t>SH CAMPO GRANDE</t>
  </si>
  <si>
    <t>[ ] Qual é o incidente?
Itens não aparece na busca do iproc para compras.
Itens: '000014053','000014028','000014115','000013082','000014119','000013099','000013056','000014082','000014132','000322690','000014093','000014003','000014144','000014037','000013074','000014072','000014071','000014073','000013028','000014082','000014028','000013046'.
[ ] Por que aconteceu?
Os acordos com o fornecedor SUPRICORP SUPRIMENTOS LTDA venceram em 31/07/2026, e obrigatoriamente todas as requisiçoes de compras devem estar atreladas a um acordo vigente.
[ ] Tratativa do incidente
Entrar em contato com o setor de suprimentos Jessica Francine das Chagas Alves Moreira (jessica.alves@lojas.com.br) para solicitação da renovação do contrato com o fornecedor.
Nós de TI não temos ação para esse caso.
[ ] Cabe Melhoria?
Não
[ ] Cabe Causa raiz?
Não</t>
  </si>
  <si>
    <t>INC455106T</t>
  </si>
  <si>
    <t>Prezados, 
Colaborador(a) entra em contato com Service Desk e relata estar com problema, recebeu orientação para cancelar duas POs de 2024 no EBS. Conseguiu realizar o cancelamento de uma delas, porém a PO nº 2709678 não pode ser cancelada, pois as opções de Cancelar e Excluir não estão disponíveis em seu acesso.
Foi seguida a documentação enviada pela liderança, porém as telas e opções apresentadas no material diferem das exibidas para a usuária. Ao tentar realizar a ação na PO 2709678, o sistema apresenta a mensagem: "Use o formulário de controle de ordens de compra para cancelar essa ordem." A solicitação CSC1423539 já foi aberta e o CSC orientou o contato com o TI para verificação.
❗Informações Obrigatórias: 
Número da sua funcional: 001185292
Número da sua loja:299
Telefone para contato (que receba Whatsapp): 49902010753
Segunda opção de contato, caso não esteja disponível: 49 984262950
📎Anexado imagem do(a) ❗Obrigatório❗ 
Atenciosamente, Service Desk ☕   
Assistente de TI</t>
  </si>
  <si>
    <t>SH LAGES GARDEN</t>
  </si>
  <si>
    <t>[ ] Qual é o incidente?
A PO nº 2709678 não pode ser cancelada, pois as opções de Cancelar e Excluir não estão disponíveis em seu acesso.
[ ] Por que aconteceu?
Ela não pode ser cancleada, opção indisponível por estar no status de Incompleto.
[ ] Tratativa do incidente
A PO 2709678 não pode ser cancelada, porém conseguimos excluir da base por estar Incompleta.
[ ] Cabe Melhoria?
Não
[ ] Cabe Causa raiz?
Não</t>
  </si>
  <si>
    <t>INC453686T</t>
  </si>
  <si>
    <t>Olá, tudo bem?
Não consigo mudar o status da PO, foi aprovada, mas ao consultar consta como em andamento. Podem verificar, por favor?</t>
  </si>
  <si>
    <t>Foi identificado que o processamento da aprovação da Ordem de Compra (PO) não havia sido totalmente concluído pelo sistema, o que mantinha o status como em andamento. Realizamos a sincronização do processo e confirmamos que a PO já consta com o status atualizado para aprovada.
Como o ajuste foi realizado com sucesso e não há pendências associadas a este documento, estamos prosseguindo com o encerramento deste chamado. Permanecemos à disposição para suporte futuro.
Atenciosamente,
Equipe EBS</t>
  </si>
  <si>
    <t>INC453327T</t>
  </si>
  <si>
    <t>Bom dia, tudo bem?
Estou tendo problemas para gerar PO, essa daqui 2881697 teve que pedir para outra pessoa aprova-la, acontece que quando finalizo o processo para que passe para o aprovador, o campo do aprovador aparece vazio bloqueado, consegue me ajudar para que apareça meus aprovadores?
Segue em anexo imagem de exemplo do problema que aparece</t>
  </si>
  <si>
    <t>Raidalys</t>
  </si>
  <si>
    <t>Usuária não tem posição atrelada no cadastro de funcionário e não está na hierarquia de compras.</t>
  </si>
  <si>
    <t>INC451889T</t>
  </si>
  <si>
    <t>Olá, tudo bem?
A PO 104175 teoricamente foi emitida pelo meu colega Henrique Tubino Breidenbach (SUP01) - funcional: 001183170 para o fornecedor BRINGER DO BRASIL AGENCIAMENTO DE CARGAS NAC E INTER LTDA, porém, recebemos uma solicitação de ajuste de PO para correção do fornecedor, ao abrirmos a PO o fornecedor é J FREITAS TRANSPORTES E SERVICOS AUTOMOTIVOS LTDA e a funcional da criação é 001186436 - ex xolaboradora - THAINARA DIAS PORCINO que saiu em 2025. O que aconteceu nesse caso?</t>
  </si>
  <si>
    <t>Após análise detalhada no Oracle EBS, foi identificado que a PO 104175 é um registro histórico legítimo, criado em 2025 pela ex-colaboradora Thainara Dias Porcino para o fornecedor J Freitas Transportes e Servicos Automotivos Ltda. Confirmamos que não houve inconsistência ou falha sistêmica, e que a numeração do documento reflete com integridade as transações daquele período.
Em relação ao processo conduzido pelo colaborador Henrique Tubino Breidenbach para o fornecedor Bringer do Brasil, foi verificado que se tratou de uma questão de procedimento, na qual a numeração esperada não foi vinculada a esta transação. Orientamos realizar uma nova consulta no módulo de Compras do sistema para identificar o número correto do documento efetivamente gerado ou, caso necessário, prosseguir com uma nova emissão.
Como a integridade do histórico do documento foi confirmada e não há pendências técnicas residuais no registro da PO 104175, estamos procedendo com o encerramento deste chamado. Permanecemos à disposição para suporte em futuras solicitações.
Atenciosamente,
Equipe EBS</t>
  </si>
  <si>
    <t>INC453275T</t>
  </si>
  <si>
    <t>Consigo abrir a RC, realizar o preenchimento de todos os dados, a ultima etapa é encaminhar para o aprovador e isso não consigo fazer.
Estou cobrindo as férias da minha colega Fabiola Aparecida da Silva Vieira, por isso preciso fazer esse processo</t>
  </si>
  <si>
    <t>Pedro</t>
  </si>
  <si>
    <t>[ ] Qual é o incidente?
Consigo abrir a RC, realizar o preenchimento de todos os dados, a ultima etapa é encaminhar para o aprovador e isso não consigo fazer.
[ ] Por que aconteceu?
O cadastro de HR do funcionário PEDRO LUIZ JACQUES DAMBROS está sem dados de POSIÇÃO. É essa informação que define a hierarquia de aprovação.
[ ] Tratativa do incidente
Para solicitar ajuste do cadastro do colaborador no EBS, por favor abra um chamado no portal CSC conforme abaixo:
https://.service-now.com/esc?id=sc_cat_item&amp;table=sc_cat_item&amp;sys_id=ec48b5561bcff99057b486afe54bcbcc
CSC &gt; Suporte Administrativo &gt; Cadastros &gt; Cadastro do Colaborador
[ ] Cabe Melhoria?
Não
[ ] Cabe Causa raiz?
Não</t>
  </si>
  <si>
    <t>INC453464T</t>
  </si>
  <si>
    <t>Boa tarde, tudo bem?
O time responsável não está conseguindo criar PO para o seller Menina Shoes.
CNPJ: 11.785.555/0001-02 
Razão Social: Menina Shoes Comercio de Moda LTDA
Pode verificar por favor?
Obrigada!</t>
  </si>
  <si>
    <t>Eicy</t>
  </si>
  <si>
    <t>ESCRITORIO WEB</t>
  </si>
  <si>
    <t>Para solicitar ajuste do cadastro do colaborador no EBS, por favor abra um chamado no portal CSC conforme abaixo:
https://.service-now.com/esc?id=sc_cat_item&amp;table=sc_cat_item&amp;sys_id=ec48b5561bcff99057b486afe54bcbcc
CSC &gt; Suporte Administrativo &gt; Cadastros &gt; Cadastro do Colaborador</t>
  </si>
  <si>
    <t>INC456797T</t>
  </si>
  <si>
    <t>Boa tarde, tudo bem!
Nosso fornecedor não está conseguindo receber os e-mail das PO's já realizamos as validações e o e-mail está correto, podem nos auxiliar?
KEMP OFICINA DE PROJETOS E GERENCIAMENTO LTDA
e-mail: financeiro@kemp.com.br
CNPJ: 15.840.528/0001-46
At.te
Ana
CSC Cadastro</t>
  </si>
  <si>
    <t>Fornecedor estava com problemas no recebimento de ordens de compras, informei que da parte da  estava tudo certo.
Fornecedor informou que resolveu.</t>
  </si>
  <si>
    <t>INC458979T</t>
  </si>
  <si>
    <t>Bom dia, 
Solicito acesso para consulta de PO'S.</t>
  </si>
  <si>
    <t>Allan</t>
  </si>
  <si>
    <t>Boa Tarde!
É necessário solicitar acesso via GIA e a liberação ocorrerá de forma automática após as aprovações.
Att,
Equipe EBS</t>
  </si>
  <si>
    <t>INC458197T</t>
  </si>
  <si>
    <t>Preciso que elimine essas POs do sistema, devido travamento no EBS não consigo movimentar POs</t>
  </si>
  <si>
    <t>Brunna</t>
  </si>
  <si>
    <t>As POs foram excluidas do sistema, conforme solicitado pelo usuário</t>
  </si>
  <si>
    <t>INC455581T</t>
  </si>
  <si>
    <t>Olá, tudo bem?
Colaborador(a) entrou em contato relatando dificuldades no EBS
🔍 Erro identificado:
Colaboradora informa que está enfrentando erro ao realizar compras Gimba no sistema EBS. Segundo relato, o problema ocorre apenas para esse tipo de compra, pois outras solicitações, como compras de sacolas, estão sendo realizadas normalmente. Solicitante relata que esse processo era executado sem dificuldades anteriormente e que, nesta data, o mesmo erro passou a ocorrer também com outras colegas da equipe.
🧪 Testes realizados:
(Configuração/reconfiguração do Java;
Limpeza de cache e dados do navegador;
Restauração das configurações padrão do Microsoft Edge.
Após os procedimentos, o problema permaneceu sem resolução.)
⚠️ Informações obrigatórias:
Número da sua funcional:001130705
Número da sua loja:472
Telefone para contato (que receba Whatsapp):99 991836866
Segunda opção de contato, caso não esteja disponível:99 991924296
📎Anexado imagem do erro relatado.
Agradecemos o suporte!
Atenciosamente...
Service Desk 💻</t>
  </si>
  <si>
    <t>Raline</t>
  </si>
  <si>
    <t>SH IMPERIAL</t>
  </si>
  <si>
    <t>[ ] Qual é o incidente?
Itens  Toalha de papel - 14053, copo descartável - 13082, álcool em gel - 322763, saco plastico transparente - 339028, não aparece na busca do iproc para compras.
[ ] Por que aconteceu?
Os acordos com o fornecedor SUPRICORP SUPRIMENTOS LTDA venceram em 31/07/2026, e obrigatoriamente todas as requisiçoes de compras devem estar atreladas a um acordo vigente.
Para o item 339028 não tem acordo vigente para sua loja 472.
[ ] Tratativa do incidente
Entrar em contato com o setor de suprimentos Jessica Francine das Chagas Alves Moreira (jessica.alves@lojas.com.br) para solicitação da renovação do contrato com o fornecedor.
Nós de TI não temos ação para esse caso.
[ ] Cabe Melhoria?
Não
[ ] Cabe Causa raiz?
Não</t>
  </si>
  <si>
    <t>INC453911T</t>
  </si>
  <si>
    <t>Ola boa tarde, tudo bem !
Solicito o apoio para verificar os itens abaixo no EBS do CD504, devido ao criar a requisição interna, colocar o CD504 como conciliador para compra, eles aparecem o valor zerado, sendo assim não possivel a criação da RI, abaixo segue os itens e um print para visualização.
itens:
000354456
000354459</t>
  </si>
  <si>
    <t>Clecio</t>
  </si>
  <si>
    <t>Informamos que foi realizada a parametrização dos custos e a atualização cadastral para os itens 000354456 e 000354459 vinculados ao CD504. Foi observado que a ausência de valores previamente cadastrados impedia a geração da requisição interna (RI). Com as correções aplicadas, os valores já são exibidos corretamente, permitindo a conclusão do processo.
Confirmamos que não há pendências referentes a este chamado e estamos procedendo com o seu encerramento. Permanecemos à disposição para suporte em caso de novas dúvidas.
Atenciosamente,
Equipe EBS</t>
  </si>
  <si>
    <t>INC455962T</t>
  </si>
  <si>
    <t>Solicito alteração do cadastro do fornecedor mencionado no EBS visto que há dois cadastros do mesmo, um escrito com "E" e outro com "&amp;". Favor manter somente o "E".</t>
  </si>
  <si>
    <t>Lauro</t>
  </si>
  <si>
    <t>05638569000109 ALVES &amp; ANDRADE TRANSPORTES LTDA</t>
  </si>
  <si>
    <t>Para ajuste do cadastro de fornecedor por favor abra um chamado no portal CSC:
https://.service-now.com/esc?id=sc_cat_item&amp;table=sc_cat_item&amp;sys_id=6d214c3f1b0882101e870e9fe54bcb4e
CSC &gt; Gestão de Fornecedores &gt; Governança de fornecedores e parceiros &gt; Cadastro, homologação e monitoramento (atualização de dados)
Login - Employee Center</t>
  </si>
  <si>
    <t>INC455241T</t>
  </si>
  <si>
    <t>As RCs foram geradas e aprovadas no dia 23/07, porém não geraram PO. Por gentileza, poderia verificar qual foi erro?</t>
  </si>
  <si>
    <t>Bom dia Viviane,
Fiquei aguardando o seu retorno ontem, creio que deu certo as criações das POs.
Estou encerrando o chamado.
Att,
Equipe EBS</t>
  </si>
  <si>
    <t>INC456655T</t>
  </si>
  <si>
    <t>Boa tarde, tudo bem?
Gostaria de solicitar uma correção no cadastro do CIEEMG. Pois quando procuro para fazer uma P.O ele não consta na lista.
CENTRO DE INTEGRACAO EMPRESA ESCOLA DE MINAS GERAIS - CIEE/MG
CNPJ: 21.728.779/0001-36</t>
  </si>
  <si>
    <t>Riccardo</t>
  </si>
  <si>
    <t>SH GOVERNADOR VALADARES</t>
  </si>
  <si>
    <t>Chamado encerrado com a validação dousuário.
Att,
Equipe EBS</t>
  </si>
  <si>
    <t>INC455724T</t>
  </si>
  <si>
    <t>Olá, tudo bem?
Colaborador(a) entrou em contato relatando dificuldades no EBS
🔍 Erro identificado:
Colaboradora informa que está enfrentando erro ao realizar compras Gimba no sistema EBS. Segundo relato, o problema ocorre apenas para esse tipo de compra, pois outras solicitações, como compras de sacolas, estão sendo realizadas normalmente. Solicitante relata que esse processo era executado sem dificuldades anteriormente e que, nesta data, o mesmo erro passou a ocorrer também com outras colegas da equipe.
🧪 Testes realizados:
(Configuração/reconfiguração do Java;
Limpeza de cache e dados do navegador;
Restauração das configurações padrão do Microsoft Edge.
Após os procedimentos, o problema permaneceu sem resolução.)
⚠️ Informações obrigatórias:
Número da sua funcional:001135447
Número da sua loja: 180
Telefone para contato (que receba Whatsapp): 21996419225
Segunda opção de contato, caso não esteja disponível: 22997865236
📎Anexado imagem do erro relatado. 
Agradecemos o suporte!
Atenciosamente...
Service Desk 💻</t>
  </si>
  <si>
    <t>Benes</t>
  </si>
  <si>
    <t>SH BOULEVARD CAMPOS</t>
  </si>
  <si>
    <t>Título do Chamado:
 Erro ao submeter requisição no EBS
Descrição:
 O colaborador informa que está enfrentando dificuldades para concluir requisições no sistema EBS. Após conseguir adicionar os itens ao carrinho, ao tentar realizar a submissão da compra, o sistema apresenta uma página de erro Oracle com a mensagem: "Ocorreu um erro inesperado. Entre em contato com o Administrador do Sistema para obter ajuda."
Foi realizado acesso remoto para validação do comportamento, sendo constatado que o erro ocorre durante a etapa de submissão da requisição dentro da plataforma. O colaborador relata que anteriormente conseguia finalizar as compras normalmente.
Solicita análise e correção da falha para permitir a conclusão das requisições no EBS.
Dados do colaborador:
Nº de Imobilizado: 2753086
Número da funcional: 001210195
Número da loja: 618
Telefone para contato (WhatsApp): (11) 96401-9395
Segunda opção de contato: Não informada
Evidência:
 Página de erro Oracle exibida ao submeter a requisição no EBS.</t>
  </si>
  <si>
    <t>O problema estava na internet, era necessário limpar cache, liberar o chrome para utilizar IE e inserir o site do oracle produção  nos sites confiáveis.</t>
  </si>
  <si>
    <t>INC455612T</t>
  </si>
  <si>
    <t>A requisição informada não aparece para o aprovador. É possível reenviar a notificação de aprovação? Ele confirma que aprovou tudo que estava com ele e não tem essa RC. Compartilho que o CC dela é novo e foi recentemente atribuído para aprovação dele, não sei se poderia ter algum impacto, mas se tivesse imagino que daria erro na aprovação e não na notificação para ele.</t>
  </si>
  <si>
    <t>Informamos que foi realizado o reenvio da notificação de aprovação referente à Requisição de Compra (RC) mencionada. Após análise, foi verificado que o novo Centro de Custo (CC) já se encontra devidamente associado e parametrizado para o fluxo do aprovador, garantindo o correto direcionamento sem novos impactos.
Confirmamos que não há pendências relacionadas a esta solicitação. Desta forma, prosseguimos com o encerramento do atendimento.
Permanecemos à disposição caso surjam novas dúvidas ou para suporte futuro.
Atenciosamente,
Equipe EBS</t>
  </si>
  <si>
    <t>INC455756T</t>
  </si>
  <si>
    <t>Boa Tarde!  Tudo bem? 
Favor realizar o cancelamento das POs em anexo. 
Eu tentei cancelar diretamente no EBS, porém sem sucesso.</t>
  </si>
  <si>
    <t>Helena</t>
  </si>
  <si>
    <t>Cancelamento via script.</t>
  </si>
  <si>
    <t>INC456792T</t>
  </si>
  <si>
    <t>Bom dia, tudo bem?
Por gentileza, rejeitar as POs 2889688, 2890929, 2890051 e 2889712.</t>
  </si>
  <si>
    <t>Jose, boa tarde!
Todas as POs foram rejeitadas.
Att,
Equipe EBS</t>
  </si>
  <si>
    <t>INC456586T</t>
  </si>
  <si>
    <t>Boa tarde, 
Favor analisar o relatório Planilha 1 (Filtrei apenas a loja 037 que era a que estava fazendo conciliação) anexo e verificar porque algumas POs/Notas não constam no relatório, quando consulto manualmente no EBS a PO tem nota vinculada e já está paga. 
Anexo evidência da consulta manual no EBS.</t>
  </si>
  <si>
    <t xml:space="preserve">'- [ ] Qual é o incidente: ao fazer a conciliação visto que algumas POs/Notas não constam no relatório, quando consulto manualmente no EBS a PO tem nota vinculada e já está paga
- [ ] Porque aconteceu:  extração muito longa se perde informação ao salvar relatorio somente de 1 mes passou de 250.000 linhas foi extraido 8 meses
- [ ] Tratativa do incidente:  extrai via banco de dados  com filtro de loja e data, os lançamentos retornaram, foi ajustado o relatorio colocando um filtro de loja, desta forma fica mais facil conciliar por loja
- [ ] Cabe Causa Raiz:  nao
- [ ] Cabe Melhoria: nao 
- [ ] Cabe treinamento :  nao </t>
  </si>
  <si>
    <t>INC456457T</t>
  </si>
  <si>
    <t>Ola, tudo bem?
Estamos tentando emitir PO e RC para os fornecedores embalagens viva e Petry. 
Ao emitir RC e PO, colocamos os dados necessários para emissão da PO/RC, incluindo filial e CC, porém quando salvamos a PO/RC ela altera o  centro de custo e conta contábil do item.
Poderia verificar?
Itens que estão dando erro:
SACO SIMPLES PRESENTE PEROLIZADO L30 x C44,5 -  - TAM M - PCT C/ 1000  - 12898 Embalagens VIVA
SACO PP PCR TR.(P) 20 X 20 + 5 CM ABA PCT C/0.500 - 332469 Petry
SACO PP PCR TR.(M) 25 X 30 + 5 CM X 0,05 C/FITA PCT 0.500 -332470 Petry 
SACO PP PCR TR. (CG) 50 X 50 + 5 CM ABA X 0,05 C/FITA PCT 0.500 -332472 Petry
SACO PP PCR TR. (Gl) 30 X 35 + 5 CM ABA X 0,05 C/FITA PCT 0.500 - 339029 Petry
Precisamos emitir PO/RC para compra de insumo para operação.</t>
  </si>
  <si>
    <t>Verifiquei que no item 000012898, da org 574 - CD CABREUVA ECOMMERCE está atrelado a conta contábil 001.00574.1103031001.0205.000.000.000
 na ABA CUSTO.
Se é necessário que a conta seja 001.00574.1103031001.0217.000.000.000 será necessário solicitar ao setor de cadastros elisa.berni@lojas.com.br para que seja feita essa alteração.
E o mesmo procedimento, caso aconteceça esse erro em outra requisição/item.</t>
  </si>
  <si>
    <t>INC457381T</t>
  </si>
  <si>
    <t>Olá, tudo bem? 
Cliente precisa canclear POs devido ficar puxando no projeto, mas não estou conseguindo devido ao erro do print. 
POS 231645 e 231642
att,</t>
  </si>
  <si>
    <t>Olá,
Chamado sendo encerrado pois são ordens da empresa Youcom.
Como Youcom foi migrado pelo Fusion, não possui período aberto para manutenção.
Att.
Equipe EBS</t>
  </si>
  <si>
    <t>Prezados,
Colaborador(a) informa que esta com problema para fazer a emissão da Nota fe transferência de Uso consumo no portal do EBS.
Número da sua funcional:001134195
Número da sua loja:
Telefone para contato (que receba Whatsapp):11.930926178
Segunda opção de contato, caso não esteja disponível:+5511917194336
📎Anexado imagem do(a) ❗Obrigatório❗ 
Atenciosamente, Service Desk 💻   
Assistente de TI</t>
  </si>
  <si>
    <t>Bom dia, tudo bem?A nota já subiu pro notamax , o problema esta resolvido!</t>
  </si>
  <si>
    <t>INC457384T</t>
  </si>
  <si>
    <t>Estamos tentando cancelar a linha 436 item 000354142 pedido 2855752-93 porém está dando erro que o pedido não está aprovado, em anexo print do erro, não permitindo que o pedido seja cancelado a linha.</t>
  </si>
  <si>
    <t>Dienifer</t>
  </si>
  <si>
    <t>Encerrado, resolvido pelo usuario</t>
  </si>
  <si>
    <t>INC451875T</t>
  </si>
  <si>
    <t>Bom dia, tudo bem?
A query  , CONSULTA POS - FAT DIRETO E AREA CLIENTE (ID: 101790723) está inconsistente. Os campos da Quantia e quantia vinculada não conferem com as respectivas POs.
Segue exemplo: PO 2876174</t>
  </si>
  <si>
    <t>INC454663T</t>
  </si>
  <si>
    <t>Boa tarde, tudo bem?
Favor seguir com o cancelamento da PO acima.</t>
  </si>
  <si>
    <t>INC442927T</t>
  </si>
  <si>
    <t>Bom dia, tudo bem? Favor rejeitar a PO acima.</t>
  </si>
  <si>
    <t>INC454662T</t>
  </si>
  <si>
    <t>Boa tarde, tudo bem?
Por gentileza, cancelar a PO acima.</t>
  </si>
  <si>
    <t>INC449323T</t>
  </si>
  <si>
    <t>Bom Dia! Tudo bem?
Podem ajudar com o lançamento desta PO?
Suprimentos não consegue seguir com a PO da Matriz da UELLO TECNOLOGIA, final: CNPJ 0001-80 (19001 - ADM UELLO).
Segue anexo print do erro, No Faturar para não segue.
Att,</t>
  </si>
  <si>
    <t>INC449356T</t>
  </si>
  <si>
    <t>Olá, tudo bem? 
Após aprovação a PO volta como incompleta, tentamos gerar outra e segue com mesmo problema.
Podem validar pfvr? 
PO 104771
Att,</t>
  </si>
  <si>
    <t>INC457391T</t>
  </si>
  <si>
    <t>Olá! Tudo bem?
Estou tentando baixar um relatório de POs no EBS, porém o arquivo esta vindo todo desconfigurado, preciso dele para fazer análises, podem me ajudar? Em anexo segue vídeo.</t>
  </si>
  <si>
    <t>Daniela</t>
  </si>
  <si>
    <t>Boa tarde, 
Preciso que exclua do sistema as duas POs 2842712-2853743 que estão com o status "Necessita Reaprovação" e não consigo mexer. 
Att,
Brunna Flores</t>
  </si>
  <si>
    <t>Boa tarde, tudo bem?
Por gentileza, realizar o cancelamento da PO acima.</t>
  </si>
  <si>
    <t>INC444843T</t>
  </si>
  <si>
    <t>Sistema lento, para subir webdai e gerar PO manualmente. Verificar por gentileza.</t>
  </si>
  <si>
    <t>INC454877T</t>
  </si>
  <si>
    <t>Bom dia, tudo bem?
Fui acionada sobre alguma POs que estava em aberto no sistema que precisa ser fechada.
Poderiam me ajudar e fechar as POs abaixo, não estou conseguindo por aqui.
2694248
2700917
2636446
2711089</t>
  </si>
  <si>
    <t>INC453855T</t>
  </si>
  <si>
    <t>Bom dia, tudo bem?
Favor verificar a PO 1506237, Pois o mesmo foi criado 14/07/2026 02:30:26 e até o mesmo a NF não foi gerada. Consegue o que ocorreu?</t>
  </si>
  <si>
    <t>Luciana</t>
  </si>
  <si>
    <t>INC459586T</t>
  </si>
  <si>
    <t>EBS - Oracle Recebimento Integrado (RI)</t>
  </si>
  <si>
    <t>Bom dia,
O RI ficou preso como aprovado e não tenho a opção de alterar a data está indisponível. Segue print.</t>
  </si>
  <si>
    <t>Luana, bom dia!
Alterei a data do Ri para hoje e o status para Incompleto, pode prosseguir com a conclusão.
Att,
Equipe EBS</t>
  </si>
  <si>
    <t>INC459189T</t>
  </si>
  <si>
    <t>Bom dia, tudo Bem?
Meu  RI ficou como parcialmente recebido e não consigo alterar a data pois não está habilitado para alteração. Segue print. Nota 52973.
Atenciosamente</t>
  </si>
  <si>
    <t>Ri concluído, após baixa da linha da PO no INV.</t>
  </si>
  <si>
    <t>INC459510T</t>
  </si>
  <si>
    <t>Olá, tudo bem?
Não estou conseguindo aprovar o RI 525815 na filial 015. Poderiam, por gentileza, aporvar para que o processo siga de forma correta?
RI 525815 
Filial 015</t>
  </si>
  <si>
    <t>Nicolle</t>
  </si>
  <si>
    <t>Olá @Nicolle Ferreira da Silva,
Clica no sinal de + conforme imagem em anexo (RI_Tela_apr.png).
Obtive o retorno via teams que o processo foi finalizado com sucesso.
Att.
Equipe EBS</t>
  </si>
  <si>
    <t>INC454048T</t>
  </si>
  <si>
    <t>Bom Dia! Tudo bem?
Preciso realizar a reversão para algumas lojas  a pedido do lançamento de notas.
Porém mesmo com a tentativa do tributário não puxa, já rodamos o concorrente copiando de uma loja que já existe essa reversão e mesmo assim não puxa.
Segue anexo evidencia.
Att,
Elisa
CSC Cadastro.</t>
  </si>
  <si>
    <t>**REABERTURA INDEVIDA***
Elisa,
Anexei no chamado um documento contendo uma explicação sobre o motivo de não ser possível associar o tipo de NF a Reversão.
Se precisar eu posso ajudar, mas preciso saber qual é o correto.
Peço que analise o documento.
Como não houve retorno em tempo hábil, o chamado está sendo encerrado.
Caso problema persista, favor abrir um novo chamado.
Atenciosamente,
Equipe EBS</t>
  </si>
  <si>
    <t>INC453444T</t>
  </si>
  <si>
    <t>Após a aplicação do patch da Reforma tributária, notamos que a execução do concorrente estava levando mais de 2h para processar 5000 CTEs, algo que demorava em torno de 20 minutos antes do patch. Em conversa com o time de desenvolvimento do EBS nos foi informado que a execução do concorrente sofre uma degradação após 500 CTEs processados, exigindo que o numero máximo de chaves enviadas de uma vez só fosse esta a partir de agora.
Temos uma automação que faz o envio destes CTEs para o RI e com esta alteração de lote de 5000 para 500 impactou diretamente a eficiencia da automação, que precisa subir em torno de 1,5MM de CTEs por mês. Isso tem gerado um backlog mensal de CTEs não processados que, por sua vez, impacta no recolhimento de impostos pela empresa, afetando diretamente o caixa.
Atualmente temos um backlog de mais de 3MM de CTEs represados, sendo que a cada mes há a entrada de um novo lote de 1,5MM o que está ocasionando um atraso no lançamento dos mesmos e o não recolhimento de mais de 11MM em impostos..
Precisamos que este concorrente seja novamente analisado e que uma solução seja proposta para que voltemos a configuração original ao menos.</t>
  </si>
  <si>
    <t>Olá @[Bruno Frohlich Nogueira],
O chamado está sendo encerrado pois conforme conversa com Renan Corvelo, depois de um teste com 2000 registros e depois com 5000, o tempo ficou aceitável.
Como vai aguardar até o final do mês para fazer a alteração, não temos mais ação.
Em caso de novos problemas e precisar acionar TI, favor abrir um novo chamado.
Att.
Equipe EBS</t>
  </si>
  <si>
    <t>INC453740T</t>
  </si>
  <si>
    <t>Olá, tudo bem? 
Os RI's 515063, 515061 da filial 015 foram lançados no diia 12, porém estão com o status "em andamento". Por favor, verificar.</t>
  </si>
  <si>
    <t>Os Ris 515063, 515061 da filial 015 estão concluídos.
Houve um erro somente na mudança de status, o qual já corrigimos.</t>
  </si>
  <si>
    <t>INC453765T</t>
  </si>
  <si>
    <t>Olá, tudo bem? 
O RI 109346 da filial 043 foi lançados no dia 12, porém está com o status "em andamento". Por favor, verificar.</t>
  </si>
  <si>
    <t>O Ri 109346 da filial 043 está concluído.
Houve um erro no momento da aprovação, corrigimos pontualmente o status.</t>
  </si>
  <si>
    <t>INC447165T</t>
  </si>
  <si>
    <t>Bom dia!
Status da NF é "ERRO". Por favor, podem voltar o status seguir com o lançamento?
Fornecedor: KRON ELECTRONICS URUGUAY SRL
Filial? 11015</t>
  </si>
  <si>
    <t>[ ] Qual é o incidente?
NF 1561 Fornecedor: KRON ELECTRONICS URUGUAY SRL com erro no LATAM.
[ ] Por que aconteceu?
Pois a OC foi usada em outra nota, já importada no AP.
[ ] Tratativa do incidente
Feito script para retornar ao status "Incompleto".
[ ] Cabe Melhoria?
Não
[ ] Cabe Causa raiz?
Não</t>
  </si>
  <si>
    <t>INC458182T</t>
  </si>
  <si>
    <t>Bom dia, tudo bem?
Ao tentas aprovar aparece que o projeto do item é inválido, segue print.</t>
  </si>
  <si>
    <t>[ ] Qual é o incidente?
Ao tentas aprovar aparece que o projeto do item é inválido, segue print.
[ ] Por que aconteceu?
O tipo de nota utilizado E17 é obrigatório que o documento de compra tenha vínculo com projeto.
A liberação 2858325-45 (linha 5) não tem projeto informado.
[ ] Tratativa do incidente
Utilizar outra ordem que contenha projeto válido, ou alterar o tipo de nota conforme o processo de compra.
[ ] Cabe Melhoria?
Não
[ ] Cabe Causa raiz?
Não</t>
  </si>
  <si>
    <t>INC453803T</t>
  </si>
  <si>
    <t>Foi realizado uma nota no EBS, a mesma não aparece no RMS.</t>
  </si>
  <si>
    <t>Sinthia</t>
  </si>
  <si>
    <t>Conforme alinhamento realizado em 14/07/2026 às 15:30, em reunião com Michel, Vinicius e Geovane, foi definida pela equipe de TI da  a alteração da sequência de numeração da origem FILIAL 324 IMPORTADO, visando regularizar o processo de emissão das notas fiscais.
Para aplicação da correção, foi executado o concorrente:
XXRNER - AR Atualizar Sequência da Nota Fiscal
Parâmetros utilizados:
Origem: FILIAL 324 IMPORTADO
Nova sequência inicial: 155743
Com a atualização da sequência, a origem passa a utilizar uma numeração válida para as próximas emissões de notas fiscais, eliminando o conflito identificado anteriormente.</t>
  </si>
  <si>
    <t>INC454689T</t>
  </si>
  <si>
    <t>Boa tarde, tudo bem? Estamos com um documento que ao colocar o pedido na linha ele não deixa eu incluir o IPI. Tentei colocar na parte de modificação de imposto manualmente e também o sistema não me permite colocar. - Filial 028 -  RI- 65322 - Nota - 175275 Pedido - 2868431 linha 11 dela - item - 000353394 - ESPELHO DE ACABAMENTO PARA BOTOEIRA TKE - IMOBILIZADO . Segue print em anexo.</t>
  </si>
  <si>
    <t>Claudia</t>
  </si>
  <si>
    <t>Claudia, bom dia!
Na organização 086 o tipo de NF E69.4, o qual está sendo utilizado no lançamento do Ri 65322 não está com o IPI flegado (vide imagem em anexo).
E, o NCM utilizado 00000000 está cadastrado com IPI de 0,00.
Como não houve retorno em tempo hábil, o chamado está sendo encerrado.
Att.
Equipe EBS</t>
  </si>
  <si>
    <t>INC448961T</t>
  </si>
  <si>
    <t>Bom dia!
Realizei o lançamento do documento acima na filial  11010, porém o status está "em andamento".
Fornecedor: PAPELERIA VALLAS SAS
Por gentileza verificar.</t>
  </si>
  <si>
    <t>[ ] Qual é o incidente?
NF 48971 LATAM ficou preso no status "Em andamento".
[ ] Por que aconteceu?
Por se tratar de um recebimento de 14/05/2026, não foi possível encontrar mais na interface do AP.
[ ] Tratativa do incidente
Aplicado script e alterado status para Incompleto e está disponível para reprocessar nota.
****PO 30211 devolvida conforme solicitado.
[ ] Cabe Melhoria?
Não
[ ] Cabe Causa raiz?
Não</t>
  </si>
  <si>
    <t>INC450028T</t>
  </si>
  <si>
    <t>Boa tarde"
Realizado o lançamento do documento 48963 na filial 11007 do Uruguai, o lançamento ficou com status "em andamento".
Por favor alterar o status.</t>
  </si>
  <si>
    <t>[ ] Qual é o incidente?
NF 48963 de 14/05/2026 18:31:50 travou no status "Em Andamento".
[ ] Por que aconteceu?
Como a NF é de 14/05/2026 18:31:50, não conseguimos mais rastrear o erro, mas ocorreu erro na interface do AP.
[ ] Tratativa do incidente
Executado script para alterar o status da NF para Incompleto.
Saldo da PO 30203 devolvida.
[ ] Cabe Melhoria?
Sim
[ ] Cabe Causa raiz?
Não</t>
  </si>
  <si>
    <t>Olá, tudo bem?
Estamos com dificuldades em realizar a associação da nota de reversão R79 com a de emissão E79 na filial 558.
O caminho em que realizamos esse vínculo é o _RI_CSC_CADASTRO &gt; Configurar &gt; Organizações &gt; Tipos e NF de reversão.
Quando informamos a nf E79 deve abrir a opção da nf R79 para vínculo, porém isso não esta ocorrendo.
Peço uma atenção, pois esta impactando o time de Lançamento de Notas e pode gerar atrasos em pagamentos.
Obrigado.</t>
  </si>
  <si>
    <t>Olá @Fernando Demoliner Cardoso,
Conforme anexo (E79_R79_558.xls) a conta de Passivo/Transitório está divergente entre os tipos de notas, causando assim o problema com o vínculo.
Como não houve retorno em tempo hábil, o chamado está sendo encerrado.
Att.
Equipe EBS</t>
  </si>
  <si>
    <t>INC458237T</t>
  </si>
  <si>
    <t>Boa tarde!
Estamos tentando realizar o lançamento do fornecedor TK Elevadores e não estamos conseguindo aprovar nenhum RI deste fornecedor em especifico, tanto na  como na Camicado.
Exemplo: RI: 112210 Filial: 138
Favor verificar.</t>
  </si>
  <si>
    <t xml:space="preserve">Olá, tudo bem?
Conforme validação realizada, foi efetuada uma atualização no cadastro do fornecedor **TK Elevadores**, após a qual foi possível concluir normalmente a aprovação do **RI 112210**, regularizando o processo também para os demais RIs pendentes do fornecedor.
Quanto à solicitação de identificação do responsável pela alteração e do respectivo horário, essas informações deverão ser validadas por meio do histórico/auditoria do time de  cadastro , caso necessário.
Dessa forma, consideramos a demanda referente à aprovação dos RIs regularizada e o chamado será encerrado.
Atenciosamente,
Equipe EBS
</t>
  </si>
  <si>
    <t>INC458224T</t>
  </si>
  <si>
    <t>Boa Tarde,
Ao lançar a nota o sistema informa que a classificação contábil é inválida, conforme print.</t>
  </si>
  <si>
    <t>Luana, bom dia!
Verifique as contas contábeis da PO junto com o time contábil, pois há alguma inválida.
Como não houve retorno em tempo hábil, o chamado está sendo encerrado.
Att,
Equipe EBS</t>
  </si>
  <si>
    <t>INC442185T</t>
  </si>
  <si>
    <t>Boa tarde, tudo bem?
Tenho mais de 120 RIs do mesmo fornecedor que não estamos conseguindo aprovar nem nossa automação.
Fornecedor: TK ELEVADORES BRASIL LTDA
Em anexo a lista de RIs pendentes de aprovação. Por favor verificar.</t>
  </si>
  <si>
    <t>[ ] Qual é o incidente?
Ao aprovar RI's do fornecedor TK ELEVADORES BRASIL LTDA, informa a seguinte mensagem: FRM-40212: Valor inválido para o campo SOURCE.
[ ] Por que aconteceu?
vendor_name = 'TK ELEVADORES BRASIL LTDA'
UPDATE ap_suppliers SET hold_flag = 'N' WHERE vendor_id = 12895
Veio uma atualização por parte do Comply onde alterou o campo hold_flag = F, sendo que essa opção não é um valor válido para a lookup.
[ ] Tratativa do incidente
Executado update para atualizar esse valor  = 'N'.
Precisa conferir com a equipe de Comply o porque gerou essa alteração no fornecedor.
[ ] Cabe Melhoria?
Nao
[ ] Cabe Causa raiz?
Não</t>
  </si>
  <si>
    <t>INC456544T</t>
  </si>
  <si>
    <t>Bom dia, tudo bem?
Estou com dificuldades em realizar aprovações nos RI's a todo momento, devido a uma duplicata de um colaborador com mesmo nome que o meu.
No momento da autorização, aparecem duas linhas com meu nome e matrículas diferentes, podendo ocasionar um lançamento no nome de outro colaborador.</t>
  </si>
  <si>
    <t>Matheus, boa tarde!
Seria necessário solicitar ao setor de cadastros a correção do seu usuário, para que não ocorra mais esse problema ao aprovar os Ris.
Att,
Equipe EBS</t>
  </si>
  <si>
    <t>INC441862T</t>
  </si>
  <si>
    <t>Bom dia, tudo bem?
Não estou conseguindo aprovar os RI filial 322 RI 11232 e filial 041  RI 185686. Favor verificar e ajustar. Foi aberto o chamado INC4377181  o mesmo foi encerrado.</t>
  </si>
  <si>
    <t>Informamos que a análise e os ajustes referentes à aprovação das RIs (filial 322 - RI 11232 e filial 041 - RI 185686) foram concluídos no âmbito do chamado INC4377181, o qual já se encontra encerrado.
Dessa forma, confirmamos que não restam pendências sobre este tema e estamos procedendo com o encerramento desta solicitação.
Seguimos à disposição para suporte futuro, caso seja necessário.
Atenciosamente,
Equipe EBS</t>
  </si>
  <si>
    <t>INC443324T</t>
  </si>
  <si>
    <t>Bom dia!
Ao consultar um documento lançado, o mesmo está com o status "ERRO".
PO: 30095
Filial: 11015
Por gentileza verificar.</t>
  </si>
  <si>
    <t>[ ] Qual é o incidente?
Ao consultar um documento lançado, o mesmo está com o status "ERRO".
PO: 30095
Filial: 11015
[ ] Por que aconteceu?
NF 76171 utilizou a PO 30095 linha 19, porém essa linha já está utilizado na NF 76170, que inclusive ja está importada no AP.
[ ] Tratativa do incidente
Utilizar outra PO  que tenha saldo disponível.
NF 76171  alterado para incompleto.
[ ] Cabe Melhoria?
Não
[ ] Cabe Causa raiz?
Não</t>
  </si>
  <si>
    <t>INC458223T</t>
  </si>
  <si>
    <t>Boa Tarde, tudo Bem?
Ao lançar a nota o sistema informa que  o projeto do item é inválido, conforme print.</t>
  </si>
  <si>
    <t>[ ] Qual é o incidente?
Ao lançar a nota o sistema informa que  o projeto do item é inválido, conforme print.
[ ] Por que aconteceu?
O tipo de nota utilizado E17 é obrigatório que o documento de compra tenha vínculo com projeto.
A liberação 2666805-183 (linhas 8 e 13) não tem projeto informado.
[ ] Tratativa do incidente
Utilizar outra ordem que contenha projeto válido, ou alterar o tipo de nota conforme o processo de compra.
[ ] Cabe Melhoria?
Não
[ ] Cabe Causa raiz?
Não</t>
  </si>
  <si>
    <t>INC453169T</t>
  </si>
  <si>
    <t>Olá, tudo bem?!
Não estamos conseguindo emitir o relatório da Query RI de CSRF, o relatório sai em branco, somente com o cabeçalho.</t>
  </si>
  <si>
    <t>O relatório voltou a funcionar no usuário da Bruna. Validado pela própria usuária.</t>
  </si>
  <si>
    <t>INC454594T</t>
  </si>
  <si>
    <t>RI 3242 filial 374 preso, consta com a situação "Em andamento" mas está preso pois não consta como lançado na capa do rol dos lançamentos concluídos.</t>
  </si>
  <si>
    <t>Milene</t>
  </si>
  <si>
    <t>Ri 3242 está concluído.</t>
  </si>
  <si>
    <t>INC455738T</t>
  </si>
  <si>
    <t>Boa tarde, tudo Bem?
  Estamos tentando aprovar um RI, porém conforme print em  anexo ele fica em retenção com a informação "sttus de ordem de compra inválido.  Filial 002, nota 61246 Ingecon RI 87224, POs 2855752, liberação- 26 - 22 - 10</t>
  </si>
  <si>
    <t xml:space="preserve"> linha 457 da PO 2855752 está cancelada e fechada com a mensagem: "CSC1405605 - cancelado conforme de acordo do fornecedor"
Essa linha está inserida no Ri 87224, NF 61246, na linha 21, com quantidade 1, valor R$ 1419,10.</t>
  </si>
  <si>
    <t>INC454672T</t>
  </si>
  <si>
    <t>Boa tarde, tudo bem?
Por favor verificar o RI 125640 filial 072 o mesmo esta preso com status "Em andamento" mas não está concluido.</t>
  </si>
  <si>
    <t>Ris com erro na conclusão, concluídos via concurrent.</t>
  </si>
  <si>
    <t>INC454474T</t>
  </si>
  <si>
    <t>Bom dia!
Favor aprovar o RI 443296 -  
Loja 324 
Fornecedor 43.750.554/0001-19
NF 39469 - CS0398663 - PO 2862527
Chamado Nucleo CS0419090</t>
  </si>
  <si>
    <t>Susana</t>
  </si>
  <si>
    <t>NF com erro na interface do Contas à pagar devido a período estar fechado.</t>
  </si>
  <si>
    <t>INC455175T</t>
  </si>
  <si>
    <t>Bom dia!
Estamos tentando lançar a NFSe, porém na hora que colocamos o CFOP, puxa um pop-up que geralmente é preenchido automaticamente o CSRF, porém o tipo de nota que estamos lançando a NF não contempla esse imposto, esse campo não deveria vir preenchido neste caso.
Filial: 015 RI: 521016 
Por favor verificar.</t>
  </si>
  <si>
    <t>O imposto descrito no na filial 015, Ri 521016, linhas &gt; aba outras informações está o IRNR + IVA está configurado no cadastro do fornecedor EVERTICAL TECNOLOGIA LTDA, aba Detalhes do imposto, no final da tela, na filial UO_, conforme evidência em anexo.</t>
  </si>
  <si>
    <t>INC458873T</t>
  </si>
  <si>
    <t>Bom dia, tudo Bem?
Não estamos conseguindo lançar a nota, pois consta que a classificação contábil é inválida. Segue print
Atenciosamente</t>
  </si>
  <si>
    <t>Identificamos que o tipo de nota E28 não está configurado para realizar lançamentos de PO vinculados a projeto, ocasionando o erro *Classificação Contábil Inválida no projeto"
Em relação ao erro A quantidade faturada é maior que a solicitada"**, verificamos que foram realizados dois lançamentos iguais. Dessa forma, a soma das quantidades lançadas no RI ultrapassa a quantidade disponível na PO.
Orientamos realizar o lançamento utilizando uma PO sem projeto vinculado como as POs 2854946 ou 2719101. Com essa alteração, os dois erros deverão ser solucionados.
As evidências seguem em anexo para consulta.
Atenciosamente,  
Equipe EBS</t>
  </si>
  <si>
    <t>INC458907T</t>
  </si>
  <si>
    <t>Boa Tarde, tudo Bem?
Meu  RI ficou como parcialmente recebido e não consigo alterar. Segue print. Nota 52973.
Atenciosamente</t>
  </si>
  <si>
    <t>INC456802T</t>
  </si>
  <si>
    <t>Boa Tarde, tudo Bem?
Ao tentas aprovar o RI aparece o erro de "classificação contábil inválida para o projeto, segue print.</t>
  </si>
  <si>
    <t>INC444134T</t>
  </si>
  <si>
    <t>Bom dia!
Realizado o lançamento do documento 48963 na filial 11007 do Uruguai, o lançamento ficou com status "em andamento".
Por favor, verificar.</t>
  </si>
  <si>
    <t>INC456427T</t>
  </si>
  <si>
    <t>Bom dia, tudo bem?
Ao tentarmos lançar a nota aparece que a classificação contábil e contas de FA são divergente. Segue print.
Atenciosamente
Luana Santiago Monteiro</t>
  </si>
  <si>
    <t>EBS - Oracle Recebimento Latam</t>
  </si>
  <si>
    <t>Boa tarde!
RI ficou com o status "erro". Por favor retornar o status.
Filial: 11015</t>
  </si>
  <si>
    <t xml:space="preserve">Olá.
Alterado status para Incompleto NF 77248.
Além disso, revertido saldo da PO 30687 / linha 6.
REC RI:22006
Att.
Equipe EBS
</t>
  </si>
  <si>
    <t>INC456847T</t>
  </si>
  <si>
    <t>EBS. Oracle Financials Cloud Accounts Payables</t>
  </si>
  <si>
    <t>Lançamento de notas fiscais de itens não revenda (recebimento/acusamento/reversão) - Youcom</t>
  </si>
  <si>
    <t>Olá!
A safx53 esta apresentando erro na integração dos documentos de serviço lançados no AP.
NFs 140360 da FL 40003
Precisamos saber se algo mudou no extrator do AP, pois esta impactando nas integrações ao tax One.</t>
  </si>
  <si>
    <t>MSAFDW</t>
  </si>
  <si>
    <t>Ferreira</t>
  </si>
  <si>
    <t>Erro foi apresentado no Middleware CLOUD ( Interdados V17 ) da fabricante Thomson Reuters, onde foi realizados os ajustes necessários para a extração e integração correta dos registros da SAFX53.</t>
  </si>
  <si>
    <t>INC458757T</t>
  </si>
  <si>
    <t>EBS. Oracle Financials Cloud General Ledger</t>
  </si>
  <si>
    <t>Favor verificar pois ao rodarmos o concorrente do GL de " Preparar Reconciliação entre o Payables e o General Ledger " o mesmo esta apresentando erro</t>
  </si>
  <si>
    <t>EBS_CLOUD</t>
  </si>
  <si>
    <t xml:space="preserve">'- [ ] Qual é o incidente:  problemas no fechamento de shangai
- [ ] Porque aconteceu:  duvida
- [ ] Tratativa do incidente:  fechamento ok , validado todos os processos e fechamento foi possível
- [ ] Cabe Causa Raiz:  nao
- [ ] Cabe Melhoria: nao 
- [ ] Cabe treinamento :  nao </t>
  </si>
  <si>
    <t>INC459596T</t>
  </si>
  <si>
    <t>EPM CLOUD</t>
  </si>
  <si>
    <t>Problemas com EPM CLOUD  Brasil</t>
  </si>
  <si>
    <t>Estou tentando entrar no EPM Planning e não consigo. Mensagem que aparece: Sua conta de usuário foi bloqueada.</t>
  </si>
  <si>
    <t>EPMCLOUD</t>
  </si>
  <si>
    <t>Ribeiro</t>
  </si>
  <si>
    <t>Ajustes nas configurações da conexão SSO e nos privilégios de segurança do usuário. Refresh de segurança para administradores e validação com usuários.</t>
  </si>
  <si>
    <t>o Refresh da 1h da madrugada não esta executnado.</t>
  </si>
  <si>
    <t>Análise, aplicação da correção técnica, monitoramento por dias e envio de orientação.</t>
  </si>
  <si>
    <t>INC441161T</t>
  </si>
  <si>
    <t>Olá! Estou tentando criar uma "Programação de Jobs" dentro do Narrative Reporting para que ele faça a "Atualizar Origem de Dados do Pacote de Relatórios" de forma automática. Porém, quando eu tento criar essa programação e vinculo ao Relatório que eu quero, aparece o erro "Operação não suportada para este pacote de relatórios" (vide anexo). Por gentileza, peço suporte para que eu consiga realizar essa programação e automatizar essa função no Narrative.</t>
  </si>
  <si>
    <t>Informamos que o chamado relacionado à criação da Programação de Jobs para atualização automática da origem de dados no Narrative Reporting foi concluído.
Durante a análise, foi identificado que a mensagem "Operação não suportada para este pacote de relatórios" ocorre em razão de uma característica estrutural do modelo de pacote de relatórios em questão, que não é elegível para essa automação específica de forma direta. O procedimento foi ajustado de acordo com as diretrizes do sistema e as orientações necessárias foram fornecidas para viabilizar o processo.
Confirmamos que a funcionalidade foi validada e não restam pendências. Diante disso, estamos procedendo com o encerramento deste chamado, mantendo-nos inteiramente à disposição para esclarecer eventuais dúvidas ou apoiar em demandas futuras.</t>
  </si>
  <si>
    <t>INC443751T</t>
  </si>
  <si>
    <t>Relato problema com conexão do smartview.</t>
  </si>
  <si>
    <t>Rosana</t>
  </si>
  <si>
    <t>Foi identificada e corrigida a falha de comunicação que afetava a conexão do SmartView, restabelecendo o acesso normal ao sistema. Confirmamos que não há pendências relacionadas a este chamado e estamos procedendo com o encerramento da solicitação. Permanecemos à disposição para suporte futuro.
Atenciosamente,
Equipe EBS</t>
  </si>
  <si>
    <t>Bom dia! A minha colega Elisa Lopes não está conseguindo fazer nenhuma atualização dos formulários do Narrative. Aparece um erro (vide anexo). Já confirmamos e o usuário dela está igual ao de todos do time que conseguem atualizar. Apenas o dela está bloqueado.</t>
  </si>
  <si>
    <t>Identificamos que o perfil de acesso da colaboradora Elisa Lopes apresentava uma inconsistência de parametrização no sistema Narrative, o que impedia a atualização dos formulários. Realizamos os devidos ajustes técnicos para alinhar as permissões da usuária com as do restante da equipe, e o acesso foi totalmente restabelecido.
Após a confirmação do pleno funcionamento e validação das atualizações, constatamos que não há pendências associadas a este chamado. Diante disso, estamos procedendo com o encerramento desta solicitação.
Permanecemos à disposição para suporte futuro caso seja necessário.
Atenciosamente,
Equipe EBS</t>
  </si>
  <si>
    <t>INC456531T</t>
  </si>
  <si>
    <t>Eu possuo uma planilha de consulta dos cadastros do narrative report e quando eu consulto algumas linhas específicas eu consigo fechar os valores corretos. Porém, quando eu abro o formulário dentro dos forms do narrative, esses valores são diferentes, quando deveriam ser iguais. Por gentileza, poderiam verificar o documento em anexo com os exemplos e nos retornar com o por quê que esses números não se cruzam?</t>
  </si>
  <si>
    <t>Revisão e ajustes em formulários usados nas notas explicativas.</t>
  </si>
  <si>
    <t>INC457795T</t>
  </si>
  <si>
    <t>Temos um erro relacionado a exportação de dados do CAPEX para o Lake. Necessário verificar.</t>
  </si>
  <si>
    <t>Cesar</t>
  </si>
  <si>
    <t>Análise, ajustes e envio de orientação para usuários.</t>
  </si>
  <si>
    <t>INC457043T</t>
  </si>
  <si>
    <t>A alocação interna não está zerando em uma linha especifica (referente a produtos financeiros do Cartão Realize).</t>
  </si>
  <si>
    <t>Duda, tudo bem? Nós fizemos a análise e a regra de alocação não contempla as despesas administrativas no critério de volume de vendas. Então precisamos abrir uma REQ para isso, já que se trata de uma melhoria.</t>
  </si>
  <si>
    <t>INC455953T</t>
  </si>
  <si>
    <t>Por gentileza, preciso que meu acesso seja igual ao do usuário da Andressa Oliveira Pinto (funcional 001139390). Preciso que seja espelhado todos os acessos, atualmente ela consegue ter acesso a mais coisas que eu, e precisa ser igual.</t>
  </si>
  <si>
    <t>Replicação e ajustes em roles de segurança em TEST e PROD</t>
  </si>
  <si>
    <t xml:space="preserve">Equipamentos de loja </t>
  </si>
  <si>
    <t>Problemas com equipamentos de loja</t>
  </si>
  <si>
    <t>Equipamento linux , aplicação EBS 
Logo após o login corporativo, ele entra no link da homepage mas fica "error page: ocorreu um erro inesperado. Entre em contato com o administrador do sistema para obter ajuda"
Nº de Imobilizado: 2341992
Marca: OKI
Modelo: INFOWAY ST 4256
Número da sua funcional: 001189473
Número da sua loja: 403
Telefone para contato (que receba Whatsapp): 11 93099-8253
Horários que podemos entrar em contato: 10h as 16h
Orientamos acessar equipamento da gerencia , mas a mesma informou que a gerente esta utilizando</t>
  </si>
  <si>
    <t>Luiza</t>
  </si>
  <si>
    <t>5 - Planejamento</t>
  </si>
  <si>
    <t>SH IGUATEMI S J RIO PRETO</t>
  </si>
  <si>
    <t>INC441117T</t>
  </si>
  <si>
    <t>FPW</t>
  </si>
  <si>
    <t>Problemas com FPW - Folha de Pagamento  Brasil</t>
  </si>
  <si>
    <t>Bom dia,
Estamos com um problema no integrador (customizado) do FPW, onde não estamos conseguindo fazer a integração de uma pensão alimentícia devido a falta de CPF.
Em anexo segue log para analise.</t>
  </si>
  <si>
    <t>Tatiana</t>
  </si>
  <si>
    <t>Foi observado que, no processo de integração da fatura 94560, o campo correspondente ao CPF/CNPJ do fornecedor está sendo preenchido com zeros. Como a geração e o envio dessa informação ocorrem no sistema de origem, orientamos que o ajuste cadastral pertinente seja realizado diretamente no sistema emissor para garantir que os dados sejam transmitidos de forma correta nas próximas integrações. Confirmamos que não existem pendências técnicas no ambiente do Oracle EBS e estamos procedendo com o encerramento deste chamado. Permanecemos à disposição para suporte futuro.
Atenciosamente,
Equipe EBS</t>
  </si>
  <si>
    <t>INC453876T</t>
  </si>
  <si>
    <t>Bom Dia,
Estamos com problema na integração da guia de FGTS rescisório da , lançamento está sendo rejeitado conforme anexo.
Att,</t>
  </si>
  <si>
    <t>Agata</t>
  </si>
  <si>
    <t>INTEGRACOES</t>
  </si>
  <si>
    <t>Informamos que a inconsistência na integração da guia de FGTS rescisório da  foi analisada e corrigida. O lançamento foi processado com sucesso e confirmamos que não há pendências relacionadas a este processo.
Desta forma, estamos procedendo com o encerramento deste chamado. Permanecemos à disposição para eventuais dúvidas ou suporte futuro.
Atenciosamente,
Equipe EBS</t>
  </si>
  <si>
    <t>INC440641T</t>
  </si>
  <si>
    <t>MDM Application</t>
  </si>
  <si>
    <t>Problemas com MDM Application  Brasil</t>
  </si>
  <si>
    <t>ela possui cadastro de colaboradora, não consigo desconfigurar o CPF para realizar o cadastro como fornecedor.
Solicito desconfiguração  de cpf no cad de ex-colaboradora, para que eu possa realizar o cadastro como fornecedora para pagamento de PPR para desligada ANDREZA MANUELA VIVAS FERREIRA - 049.567.605-58</t>
  </si>
  <si>
    <t>Informamos que foi realizada a desconfiguração do CPF 049.567.605-58 no cadastro de ex-colaboradora de ANDREZA MANUELA VIVAS FERREIRA. O CPF encontra-se liberado para que seja realizado o novo cadastro como fornecedora para o pagamento do PPR.
Confirmamos que o procedimento foi concluído com sucesso e não há pendências adicionais, razão pela qual este chamado está sendo encerrado. Permanecemos à disposição para suporte futuro.</t>
  </si>
  <si>
    <t>INC446794T</t>
  </si>
  <si>
    <t>Bom Dia! Tudo bem?
Sou do csc cadastro e preciso que o fornecedor: RC LAZZAROTTI PRODUCOES LTDA integre as informações de impostos ajustadas para o EBS. Lançamento esta aguardando este ajuste.
Podem ajudar?
Segue print do erro em anexo;
ERRO: root / Fornecedor Raiz: Status: ERROR, Msg: supplier: # UPDATE_VENDOR_PUBLIC #ERR-110-API AP_VENDOR_PUB_PKG.UPDATE_VENDOR_PUBLIC VENDOR_ID: 1437843# UPDATE_VENDOR_PUBLIC * Este registro da tabela HZ_ORGANIZATION_PROFILES não pode ser bloqueado porque foi atualizado por outro usuário.#Este registro da tabela HZ_ORGANIZATION_PROFILES não pode ser bloqueado porque foi atualizado por outro usuário.# UPDATE_VENDOR_PUBLIC * Erro de saída da chamada da API da TCA#Erro de saída da chamada da API da TCA#X_VENDOR_ID :-1#
Att,
Elisa Berni.</t>
  </si>
  <si>
    <t>Confirmamos que a integração do fornecedor RC LAZZAROTTI PRODUCOES LTDA foi concluída com sucesso no Oracle EBS em 18/06/2026 às 11:38:40, com as informações de impostos devidamente atualizadas. O bloqueio temporário identificado no registro da tabela HZ_ORGANIZATION_PROFILES foi superado, e a base já se encontra atualizada para que você possa prosseguir com o lançamento pendente.
Como o processo foi concluído com êxito e não identificamos pendências remanescentes, estamos procedendo com o encerramento deste chamado. Permanecemos à disposição caso necessite de novo suporte.
Atenciosamente,
Equipe EBS</t>
  </si>
  <si>
    <t>INC446825T</t>
  </si>
  <si>
    <t>Problemas com MDM Application CAMICADO</t>
  </si>
  <si>
    <t>Boa tarde, tudo bem? 
Foi aberto um chamado para pagamento de documentos referente ao treinamento da brigada de incêndio mas responderam no chamado que o fornecedor não está cadastrado no EBS, mas ele estava disponível para abertura do chamado. 
Segue resposta do CSC em anexo
CNPJ - 27.693.537/0001-30
KFS TREINAMENTOS E DESENVOLVIMENTO GERENCIAL LTDA
Poderiam verificar por gentileza?</t>
  </si>
  <si>
    <t>Julia</t>
  </si>
  <si>
    <t>MAXMIX COMERCIAL LTDA</t>
  </si>
  <si>
    <t>Informamos que o cadastro do fornecedor KFS TREINAMENTOS E DESENVOLVIMENTO GERENCIAL LTDA, sob o CNPJ 27.693.537/0001-30, foi verificado e encontra-se devidamente ativo e regularizado no Oracle EBS, o que viabiliza o andamento do processo de pagamento do treinamento de brigada de incêndio.
Confirmamos que não há pendências sistêmicas ativas relacionadas a este caso e estamos procedendo com o encerramento deste chamado. Permanecemos à disposição para suporte futuro.
Atenciosamente,
Equipe EBS</t>
  </si>
  <si>
    <t>INC453868T</t>
  </si>
  <si>
    <t>Problema com Gestão de Fornecedores – MDM Fornecedor</t>
  </si>
  <si>
    <t>Olá, tudo bem?
Identifiquei que o fornecedor apresentou erro durante a integração.
Gentileza avaliar o ocorrido e realizar os ajustes necessários.
Obrigada!</t>
  </si>
  <si>
    <t>Lisiane</t>
  </si>
  <si>
    <t>INC441839T</t>
  </si>
  <si>
    <t>REPASSA INTERMEDIACAO DE NEGOCIOS LTDA. - 18203481000106 erro ao integrar UO_Camicado para o cadastro</t>
  </si>
  <si>
    <t>INC446785T</t>
  </si>
  <si>
    <t>Bom dia, tudo bem?
Foi aberto o chamado INC4358639, porém foi cancelado, pois não tivemos retorno da área responsável, referente ao envio das informações solicitadas pelo time da TI. Estamos abrindo esse novo chamado, com o retorno que tivemos do time responsável pelo cadastro. Segue retorno em anexo.
(Estamos com erro na emissão das notas de Marketplace, para os sellers da planilha em anexo, por erro de CEP. Foi aberto a solicitação CSC1258509, e conforme resolutiva, todos os cadastros foram ajustados no MDM, porém efetuamos a emissão novamente e ocorreu o mesmo erro.
Poderia verificar a integração das informações do MDM para o EBS? Pois conforme o atendente da solicitação, Juan Sena Nunes, caso o erro persistisse, seria devia a erro de integração, pois os CEPs, foram ajustados no MDM.)
Atenciosamente,
Jéssica Hilleshain
CSC Fiscal</t>
  </si>
  <si>
    <t>Estamos procedendo com o encerramento deste chamado, pois o erro na emissão das notas de Marketplace (falha na validação do XML no Notamax) foi devidamente analisado e diagnosticado.
O erro ocorre porque o CEP atualmente cadastrado corresponde ao CEP geral da cidade, e não ao CEP específico do endereço do seller, o que impede a validação no Notamax. A causa foi validada mediante um ajuste de teste.
Próximos Passos (Ação com a Área de Negócios):
Conforme atualização recente a área de negócios já está atuando junto aos sellers para levantar os CEPs específicos corretos. Assim que essas informações forem validadas, a própria área de negócios deverá seguir o fluxo oficial, solicitando a correção definitiva dos cadastros diretamente via MDM.
Como não há mais ações pendentes por parte da equipe técnica de TI de suporte ao sistema neste momento, e a resolução definitiva depende da correção cadastral no MDM, o chamado está sendo encerrado.
Caso, após a correção definitiva no MDM, os dados não sejam refletidos no EBS por algum problema de integração, por favor, abram um novo chamado reportando a falha na integração.</t>
  </si>
  <si>
    <t>INC454083T</t>
  </si>
  <si>
    <t>Bom dia, sou de cadastro estou tentando vincular o fornecedor no RI (BILL_TO e SHIP_TO) e ainda segue dando erro
ELEVADORES ATLAS SCHINDLER LTDA - 00028986003042</t>
  </si>
  <si>
    <t>INC456479T</t>
  </si>
  <si>
    <t>GFA0025998</t>
  </si>
  <si>
    <t>Karen</t>
  </si>
  <si>
    <t>Durante a análise, foi identificado que o endereço informado já está associado ao local 0006-90, o que significa que existe um party_site previamente cadastrado. Por conta disso, o sistema não realiza uma nova integração de forma automática.
Como alternativa, orientamos realizar o cadastro manualmente através da tela correspondente no sistema. Após a conclusão deste procedimento, solicitamos que nos notifique para que possamos acionar o time de MDM para realizar a carga dos dados e garantir que o cadastro fique devidamente integrado.
Com estes direcionamentos fornecidos, confirmamos que não há pendências ativas sob nossa responsabilidade e prosseguiremos com o encerramento deste atendimento. Permanecemos à disposição para suporte em futuras solicitações.
Atenciosamente,
Equipe EBS</t>
  </si>
  <si>
    <t>INC446399T</t>
  </si>
  <si>
    <t>Notamax</t>
  </si>
  <si>
    <t>A NOTA NÃO SAÍ NO EBS, MAS O STATUS ESTÁ COMO FECHADO</t>
  </si>
  <si>
    <t>INC453780T</t>
  </si>
  <si>
    <t>Não estou conseguindo emitir as notas de pallet do CD 324, todas constam como N/I e ficam "presas" no Sefaz
Não consigo nem cancelar as notas em questão, aparece a mensagem em anexo.</t>
  </si>
  <si>
    <t>INC453641T</t>
  </si>
  <si>
    <t>Notas não saem de novo no notamax.</t>
  </si>
  <si>
    <t>INC453723T</t>
  </si>
  <si>
    <t>Bom dia, tudo bem?
Favor verificar as NF's 134389 e 134390, pois as mesma foram geradas no sistema EBS e não integram no notamax.
Dúvidas estou a disposição.</t>
  </si>
  <si>
    <t>Conforme alinhamento realizado em 14/07/2026 às 15:30, em reunião com Michel, Vinicius e Geovane, e alinhado com a equipe Tributária, foi definida a necessidade de alterar a sequência de numeração da origem FILIAL 324 IMPORTADO, visando regularizar o processo de emissão das notas fiscais e eliminar o conflito identificado.
Para aplicação da correção, foi executado o concorrente:
XXRNER - AR Atualizar Sequência da Nota Fiscal
Parâmetros utilizados:
Origem: FILIAL 324 IMPORTADO
Nova sequência inicial: 155743
Com a atualização da sequência, a origem passa a utilizar uma numeração válida para as próximas emissões de notas fiscais, conforme alinhamento realizado com a área Tributária, eliminando o conflito de numeração identificado anteriormente e permitindo a continuidade do processo de emissão das notas fiscais.
Pode reprocessar novamente</t>
  </si>
  <si>
    <t>INC453660T</t>
  </si>
  <si>
    <t>As distribuições e ordens foram fechadas / submetidas na sexta-feira, tenho as NF's porém até agora nenhuma delas consta no Notamax.</t>
  </si>
  <si>
    <t>INC457327T</t>
  </si>
  <si>
    <t>Boa tarde!
Estamos com notas de serviços tomando o erro abaixo: 
- [EBSWS - EBSWS] - Falha na conexão com a prefeitura - The request failed with HTTP status 403: Forbidden.
Link da Prefeitura:
https://nfe.prefeitura.sp.gov.br/login.aspx</t>
  </si>
  <si>
    <t>Edson</t>
  </si>
  <si>
    <t>tualizados os dados de chave eletronica nas tabelas xxrner.xxrner_ar_sefaz_process_a, JL_BR_CUSTOMER_TRX_EXTS, CLL_F031_ELECTRONIC_TRX_ALL, ra_customer_trx_all, conforme lista de Notas e Chave recebidas da extracao com Notamax.</t>
  </si>
  <si>
    <t>INC454375T</t>
  </si>
  <si>
    <t>Bom dia, tudo Bem?
As notas não estão sendo encontradas no Notamax.
Atenciosamente
Luana Santiago Monteiro</t>
  </si>
  <si>
    <t>INC456808T</t>
  </si>
  <si>
    <t>Colaboradora relata que concluiu a nota no ebs porem a mesma não consta no notamax para a impressão  
numero da nota/remessa e/ou ASN: 1521065 (ordem)
Número da sua funcional: 001182545
Número da sua loja:49
Telefone para contato (que receba Whatsapp): 11 943081266
Segunda opção de contato, caso não esteja disponível:</t>
  </si>
  <si>
    <t>Karolline</t>
  </si>
  <si>
    <t>SH CENTER NORTE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</si>
</sst>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
    <numFmt numFmtId="165" formatCode="0&quot; horas&quot;"/>
  </numFmts>
  <fonts count="2" x14ac:knownFonts="1">
    <font>
      <sz val="11"/>
      <color rgb="FF000000"/>
      <name val="Aptos Narrow"/>
      <family val="2"/>
      <charset val="1"/>
    </font>
    <font>
      <b/>
      <sz val="1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applyAlignment="1">
      <alignment vertical="top" wrapText="1"/>
    </xf>
    <xf numFmtId="0" fontId="1" fillId="0" borderId="0" xfId="0" applyFont="1"/>
    <xf numFmtId="164" fontId="0" fillId="0" borderId="0" xfId="0" applyNumberFormat="1" applyAlignment="1">
      <alignment vertical="top"/>
    </xf>
    <xf numFmtId="165" fontId="0" fillId="0" borderId="0" xfId="0" applyNumberFormat="1" applyAlignment="1">
      <alignment vertical="top" wrapText="1"/>
    </xf>
    <xf numFmtId="0" fontId="0" fillId="0" borderId="0" xfId="0" applyAlignment="1">
      <alignment vertical="top"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17"/>
  <sheetViews>
    <sheetView tabSelected="1" zoomScaleNormal="100" workbookViewId="0">
      <pane ySplit="1" topLeftCell="A371" activePane="bottomLeft" state="frozen"/>
      <selection activeCell="I1" sqref="I1"/>
      <selection pane="bottomLeft" activeCell="K386" sqref="K386"/>
    </sheetView>
  </sheetViews>
  <sheetFormatPr defaultColWidth="8.5546875" defaultRowHeight="14.4" x14ac:dyDescent="0.3"/>
  <cols>
    <col min="1" max="1" width="14.21875" style="1" customWidth="1"/>
    <col min="2" max="2" width="13.109375" style="1" customWidth="1"/>
    <col min="3" max="3" width="34.33203125" style="1" customWidth="1"/>
    <col min="4" max="4" width="13.21875" customWidth="1"/>
    <col min="5" max="6" width="15.33203125" customWidth="1"/>
    <col min="7" max="7" width="15.88671875" customWidth="1"/>
    <col min="8" max="8" width="80.33203125" style="1" customWidth="1"/>
    <col min="9" max="9" width="255.77734375" style="1" customWidth="1"/>
    <col min="10" max="10" width="14" style="1" customWidth="1"/>
    <col min="11" max="11" width="14.5546875" customWidth="1"/>
    <col min="12" max="12" width="20.109375" style="1" customWidth="1"/>
    <col min="13" max="13" width="12.5546875" style="1" customWidth="1"/>
    <col min="14" max="14" width="10.33203125" style="1" customWidth="1"/>
    <col min="15" max="15" width="48.109375" style="1" customWidth="1"/>
    <col min="16" max="16" width="46.109375" style="1" customWidth="1"/>
    <col min="17" max="17" width="30.33203125" style="1" customWidth="1"/>
    <col min="18" max="18" width="15.88671875" style="1" customWidth="1"/>
    <col min="19" max="19" width="10.21875" customWidth="1"/>
    <col min="20" max="20" width="255.77734375" style="1" customWidth="1"/>
    <col min="21" max="21" width="16.5546875" style="1" customWidth="1"/>
    <col min="22" max="22" width="15.33203125" customWidth="1"/>
    <col min="23" max="23" width="20" customWidth="1"/>
    <col min="24" max="24" width="18" customWidth="1"/>
  </cols>
  <sheetData>
    <row r="1" spans="1:24" ht="1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ht="15" customHeight="1" x14ac:dyDescent="0.3">
      <c r="A2" s="1" t="s">
        <v>24</v>
      </c>
      <c r="B2" s="1" t="s">
        <v>25</v>
      </c>
      <c r="C2" s="1" t="s">
        <v>26</v>
      </c>
      <c r="D2" s="1" t="s">
        <v>5</v>
      </c>
      <c r="E2" s="3">
        <v>46178.585416666698</v>
      </c>
      <c r="F2" s="3">
        <v>46186.528472222199</v>
      </c>
      <c r="G2" s="3">
        <v>46186.528472222199</v>
      </c>
      <c r="H2" s="1" t="s">
        <v>27</v>
      </c>
      <c r="I2" s="1" t="s">
        <v>28</v>
      </c>
      <c r="J2" s="1" t="s">
        <v>29</v>
      </c>
      <c r="K2" s="1" t="s">
        <v>30</v>
      </c>
      <c r="L2" s="1" t="s">
        <v>31</v>
      </c>
      <c r="M2" s="1" t="s">
        <v>32</v>
      </c>
      <c r="N2" s="4">
        <v>36</v>
      </c>
      <c r="O2" s="1" t="s">
        <v>33</v>
      </c>
      <c r="P2" s="1" t="s">
        <v>34</v>
      </c>
      <c r="Q2" s="1" t="s">
        <v>35</v>
      </c>
      <c r="R2" s="1" t="s">
        <v>36</v>
      </c>
      <c r="S2" s="5">
        <v>346020</v>
      </c>
      <c r="T2" s="1" t="s">
        <v>37</v>
      </c>
      <c r="U2" s="1" t="s">
        <v>38</v>
      </c>
      <c r="V2" s="3">
        <v>46182.590277777803</v>
      </c>
      <c r="W2" s="6">
        <f t="shared" ref="W2:W65" si="0">COUNTIFS($J$2:$J$417,J2,$C$2:$C$417,C2)</f>
        <v>1</v>
      </c>
      <c r="X2" s="6" t="str">
        <f t="shared" ref="X2:X65" si="1">IF(W2&gt;1,"Sim","Não")</f>
        <v>Não</v>
      </c>
    </row>
    <row r="3" spans="1:24" ht="15" customHeight="1" x14ac:dyDescent="0.3">
      <c r="A3" s="1" t="s">
        <v>39</v>
      </c>
      <c r="B3" s="1" t="s">
        <v>25</v>
      </c>
      <c r="C3" s="1" t="s">
        <v>40</v>
      </c>
      <c r="D3" s="1" t="s">
        <v>41</v>
      </c>
      <c r="E3" s="3">
        <v>46275.472916666702</v>
      </c>
      <c r="F3" s="3"/>
      <c r="G3" s="3">
        <v>46275.586111111101</v>
      </c>
      <c r="H3" s="1" t="s">
        <v>42</v>
      </c>
      <c r="I3" s="1" t="s">
        <v>43</v>
      </c>
      <c r="J3" s="1" t="s">
        <v>44</v>
      </c>
      <c r="K3" s="1" t="s">
        <v>30</v>
      </c>
      <c r="L3" s="1" t="s">
        <v>31</v>
      </c>
      <c r="M3" s="1" t="s">
        <v>45</v>
      </c>
      <c r="N3" s="4">
        <v>36</v>
      </c>
      <c r="O3" s="1" t="s">
        <v>46</v>
      </c>
      <c r="P3" s="1" t="s">
        <v>47</v>
      </c>
      <c r="R3" s="1" t="s">
        <v>36</v>
      </c>
      <c r="S3" s="5"/>
      <c r="U3" s="1" t="s">
        <v>38</v>
      </c>
      <c r="V3" s="3"/>
      <c r="W3" s="6">
        <f t="shared" si="0"/>
        <v>9</v>
      </c>
      <c r="X3" s="6" t="str">
        <f t="shared" si="1"/>
        <v>Sim</v>
      </c>
    </row>
    <row r="4" spans="1:24" ht="15" customHeight="1" x14ac:dyDescent="0.3">
      <c r="A4" s="1" t="s">
        <v>48</v>
      </c>
      <c r="B4" s="1" t="s">
        <v>25</v>
      </c>
      <c r="C4" s="1" t="s">
        <v>40</v>
      </c>
      <c r="D4" s="1" t="s">
        <v>49</v>
      </c>
      <c r="E4" s="3">
        <v>46268.731249999997</v>
      </c>
      <c r="F4" s="3"/>
      <c r="G4" s="3">
        <v>46275.631249999999</v>
      </c>
      <c r="H4" s="1" t="s">
        <v>42</v>
      </c>
      <c r="I4" s="1" t="s">
        <v>50</v>
      </c>
      <c r="J4" s="1" t="s">
        <v>44</v>
      </c>
      <c r="K4" s="1" t="s">
        <v>30</v>
      </c>
      <c r="L4" s="1" t="s">
        <v>31</v>
      </c>
      <c r="M4" s="1" t="s">
        <v>32</v>
      </c>
      <c r="N4" s="4">
        <v>36</v>
      </c>
      <c r="O4" s="1" t="s">
        <v>46</v>
      </c>
      <c r="P4" s="1" t="s">
        <v>47</v>
      </c>
      <c r="R4" s="1" t="s">
        <v>36</v>
      </c>
      <c r="S4" s="5">
        <v>486000</v>
      </c>
      <c r="U4" s="1" t="s">
        <v>38</v>
      </c>
      <c r="V4" s="3"/>
      <c r="W4" s="6">
        <f t="shared" si="0"/>
        <v>9</v>
      </c>
      <c r="X4" s="6" t="str">
        <f t="shared" si="1"/>
        <v>Sim</v>
      </c>
    </row>
    <row r="5" spans="1:24" ht="15" customHeight="1" x14ac:dyDescent="0.3">
      <c r="A5" s="1" t="s">
        <v>48</v>
      </c>
      <c r="B5" s="1" t="s">
        <v>25</v>
      </c>
      <c r="C5" s="1" t="s">
        <v>40</v>
      </c>
      <c r="D5" s="1" t="s">
        <v>49</v>
      </c>
      <c r="E5" s="3">
        <v>46268.729166666701</v>
      </c>
      <c r="F5" s="3"/>
      <c r="G5" s="3">
        <v>46274.663888888899</v>
      </c>
      <c r="H5" s="1" t="s">
        <v>42</v>
      </c>
      <c r="I5" s="1" t="s">
        <v>50</v>
      </c>
      <c r="J5" s="1" t="s">
        <v>44</v>
      </c>
      <c r="K5" s="1" t="s">
        <v>51</v>
      </c>
      <c r="L5" s="1" t="s">
        <v>31</v>
      </c>
      <c r="M5" s="1" t="s">
        <v>32</v>
      </c>
      <c r="N5" s="4">
        <v>36</v>
      </c>
      <c r="O5" s="1" t="s">
        <v>46</v>
      </c>
      <c r="P5" s="1" t="s">
        <v>47</v>
      </c>
      <c r="R5" s="1" t="s">
        <v>36</v>
      </c>
      <c r="S5" s="5"/>
      <c r="U5" s="1" t="s">
        <v>38</v>
      </c>
      <c r="V5" s="3"/>
      <c r="W5" s="6">
        <f t="shared" si="0"/>
        <v>9</v>
      </c>
      <c r="X5" s="6" t="str">
        <f t="shared" si="1"/>
        <v>Sim</v>
      </c>
    </row>
    <row r="6" spans="1:24" ht="15" customHeight="1" x14ac:dyDescent="0.3">
      <c r="A6" s="1" t="s">
        <v>52</v>
      </c>
      <c r="B6" s="1" t="s">
        <v>25</v>
      </c>
      <c r="C6" s="1" t="s">
        <v>40</v>
      </c>
      <c r="D6" s="1" t="s">
        <v>49</v>
      </c>
      <c r="E6" s="3">
        <v>46275.4819444444</v>
      </c>
      <c r="F6" s="3"/>
      <c r="G6" s="3">
        <v>46275.576388888898</v>
      </c>
      <c r="H6" s="1" t="s">
        <v>42</v>
      </c>
      <c r="I6" s="1" t="s">
        <v>53</v>
      </c>
      <c r="J6" s="1" t="s">
        <v>54</v>
      </c>
      <c r="K6" s="1" t="s">
        <v>30</v>
      </c>
      <c r="L6" s="1" t="s">
        <v>31</v>
      </c>
      <c r="M6" s="1" t="s">
        <v>45</v>
      </c>
      <c r="N6" s="4">
        <v>36</v>
      </c>
      <c r="O6" s="1" t="s">
        <v>46</v>
      </c>
      <c r="P6" s="1" t="s">
        <v>47</v>
      </c>
      <c r="R6" s="1" t="s">
        <v>36</v>
      </c>
      <c r="S6" s="5"/>
      <c r="U6" s="1" t="s">
        <v>38</v>
      </c>
      <c r="V6" s="3"/>
      <c r="W6" s="6">
        <f t="shared" si="0"/>
        <v>10</v>
      </c>
      <c r="X6" s="6" t="str">
        <f t="shared" si="1"/>
        <v>Sim</v>
      </c>
    </row>
    <row r="7" spans="1:24" ht="15" customHeight="1" x14ac:dyDescent="0.3">
      <c r="A7" s="1" t="s">
        <v>55</v>
      </c>
      <c r="B7" s="1" t="s">
        <v>25</v>
      </c>
      <c r="C7" s="1" t="s">
        <v>40</v>
      </c>
      <c r="D7" s="1" t="s">
        <v>49</v>
      </c>
      <c r="E7" s="3">
        <v>46273.670833333301</v>
      </c>
      <c r="F7" s="3"/>
      <c r="G7" s="3">
        <v>46275.425000000003</v>
      </c>
      <c r="H7" s="1" t="s">
        <v>42</v>
      </c>
      <c r="I7" s="1" t="s">
        <v>56</v>
      </c>
      <c r="J7" s="1" t="s">
        <v>54</v>
      </c>
      <c r="K7" s="1" t="s">
        <v>30</v>
      </c>
      <c r="L7" s="1" t="s">
        <v>31</v>
      </c>
      <c r="M7" s="1" t="s">
        <v>45</v>
      </c>
      <c r="N7" s="4">
        <v>36</v>
      </c>
      <c r="O7" s="1" t="s">
        <v>46</v>
      </c>
      <c r="P7" s="1" t="s">
        <v>47</v>
      </c>
      <c r="R7" s="1" t="s">
        <v>36</v>
      </c>
      <c r="S7" s="5"/>
      <c r="U7" s="1" t="s">
        <v>38</v>
      </c>
      <c r="V7" s="3"/>
      <c r="W7" s="6">
        <f t="shared" si="0"/>
        <v>10</v>
      </c>
      <c r="X7" s="6" t="str">
        <f t="shared" si="1"/>
        <v>Sim</v>
      </c>
    </row>
    <row r="8" spans="1:24" ht="15" customHeight="1" x14ac:dyDescent="0.3">
      <c r="A8" s="1" t="s">
        <v>57</v>
      </c>
      <c r="B8" s="1" t="s">
        <v>25</v>
      </c>
      <c r="C8" s="1" t="s">
        <v>40</v>
      </c>
      <c r="D8" s="1" t="s">
        <v>49</v>
      </c>
      <c r="E8" s="3">
        <v>46273.399305555598</v>
      </c>
      <c r="F8" s="3"/>
      <c r="G8" s="3">
        <v>46274.4375</v>
      </c>
      <c r="H8" s="1" t="s">
        <v>42</v>
      </c>
      <c r="I8" s="1" t="s">
        <v>58</v>
      </c>
      <c r="J8" s="1" t="s">
        <v>59</v>
      </c>
      <c r="K8" s="1" t="s">
        <v>30</v>
      </c>
      <c r="L8" s="1" t="s">
        <v>31</v>
      </c>
      <c r="M8" s="1" t="s">
        <v>45</v>
      </c>
      <c r="N8" s="4">
        <v>36</v>
      </c>
      <c r="O8" s="1" t="s">
        <v>46</v>
      </c>
      <c r="P8" s="1" t="s">
        <v>47</v>
      </c>
      <c r="R8" s="1" t="s">
        <v>36</v>
      </c>
      <c r="S8" s="5"/>
      <c r="U8" s="1" t="s">
        <v>38</v>
      </c>
      <c r="V8" s="3"/>
      <c r="W8" s="6">
        <f t="shared" si="0"/>
        <v>26</v>
      </c>
      <c r="X8" s="6" t="str">
        <f t="shared" si="1"/>
        <v>Sim</v>
      </c>
    </row>
    <row r="9" spans="1:24" ht="15" customHeight="1" x14ac:dyDescent="0.3">
      <c r="A9" s="1" t="s">
        <v>60</v>
      </c>
      <c r="B9" s="1" t="s">
        <v>25</v>
      </c>
      <c r="C9" s="1" t="s">
        <v>40</v>
      </c>
      <c r="D9" s="1" t="s">
        <v>21</v>
      </c>
      <c r="E9" s="3">
        <v>46266.4284722222</v>
      </c>
      <c r="F9" s="3"/>
      <c r="G9" s="3">
        <v>46268.725694444503</v>
      </c>
      <c r="H9" s="1" t="s">
        <v>42</v>
      </c>
      <c r="I9" s="1" t="s">
        <v>61</v>
      </c>
      <c r="J9" s="1" t="s">
        <v>59</v>
      </c>
      <c r="K9" s="1" t="s">
        <v>30</v>
      </c>
      <c r="L9" s="1" t="s">
        <v>31</v>
      </c>
      <c r="M9" s="1" t="s">
        <v>62</v>
      </c>
      <c r="N9" s="4">
        <v>36</v>
      </c>
      <c r="O9" s="1" t="s">
        <v>46</v>
      </c>
      <c r="P9" s="1" t="s">
        <v>47</v>
      </c>
      <c r="Q9" s="1" t="s">
        <v>35</v>
      </c>
      <c r="R9" s="1" t="s">
        <v>36</v>
      </c>
      <c r="S9" s="5">
        <v>198480</v>
      </c>
      <c r="T9" s="1" t="s">
        <v>63</v>
      </c>
      <c r="U9" s="1" t="s">
        <v>38</v>
      </c>
      <c r="V9" s="3">
        <v>46268.725694444503</v>
      </c>
      <c r="W9" s="6">
        <f t="shared" si="0"/>
        <v>26</v>
      </c>
      <c r="X9" s="6" t="str">
        <f t="shared" si="1"/>
        <v>Sim</v>
      </c>
    </row>
    <row r="10" spans="1:24" ht="15" customHeight="1" x14ac:dyDescent="0.3">
      <c r="A10" s="1" t="s">
        <v>64</v>
      </c>
      <c r="B10" s="1" t="s">
        <v>25</v>
      </c>
      <c r="C10" s="1" t="s">
        <v>40</v>
      </c>
      <c r="D10" s="1" t="s">
        <v>21</v>
      </c>
      <c r="E10" s="3">
        <v>46275.393750000003</v>
      </c>
      <c r="F10" s="3"/>
      <c r="G10" s="3">
        <v>46275.630555555603</v>
      </c>
      <c r="H10" s="1" t="s">
        <v>42</v>
      </c>
      <c r="I10" s="1" t="s">
        <v>65</v>
      </c>
      <c r="J10" s="1" t="s">
        <v>66</v>
      </c>
      <c r="K10" s="1" t="s">
        <v>51</v>
      </c>
      <c r="L10" s="1" t="s">
        <v>31</v>
      </c>
      <c r="M10" s="1" t="s">
        <v>32</v>
      </c>
      <c r="N10" s="4">
        <v>36</v>
      </c>
      <c r="O10" s="1" t="s">
        <v>46</v>
      </c>
      <c r="P10" s="1" t="s">
        <v>67</v>
      </c>
      <c r="Q10" s="1" t="s">
        <v>68</v>
      </c>
      <c r="R10" s="1" t="s">
        <v>36</v>
      </c>
      <c r="S10" s="5">
        <v>20460</v>
      </c>
      <c r="T10" s="1" t="s">
        <v>69</v>
      </c>
      <c r="U10" s="1" t="s">
        <v>38</v>
      </c>
      <c r="V10" s="3">
        <v>46275.630555555603</v>
      </c>
      <c r="W10" s="6">
        <f t="shared" si="0"/>
        <v>7</v>
      </c>
      <c r="X10" s="6" t="str">
        <f t="shared" si="1"/>
        <v>Sim</v>
      </c>
    </row>
    <row r="11" spans="1:24" ht="15" customHeight="1" x14ac:dyDescent="0.3">
      <c r="A11" s="1" t="s">
        <v>70</v>
      </c>
      <c r="B11" s="1" t="s">
        <v>25</v>
      </c>
      <c r="C11" s="1" t="s">
        <v>40</v>
      </c>
      <c r="D11" s="1" t="s">
        <v>21</v>
      </c>
      <c r="E11" s="3">
        <v>46269.359027777798</v>
      </c>
      <c r="F11" s="3"/>
      <c r="G11" s="3">
        <v>46269.579861111102</v>
      </c>
      <c r="H11" s="1" t="s">
        <v>42</v>
      </c>
      <c r="I11" s="1" t="s">
        <v>71</v>
      </c>
      <c r="J11" s="1" t="s">
        <v>66</v>
      </c>
      <c r="K11" s="1" t="s">
        <v>30</v>
      </c>
      <c r="L11" s="1" t="s">
        <v>31</v>
      </c>
      <c r="M11" s="1" t="s">
        <v>32</v>
      </c>
      <c r="N11" s="4">
        <v>36</v>
      </c>
      <c r="O11" s="1" t="s">
        <v>46</v>
      </c>
      <c r="P11" s="1" t="s">
        <v>67</v>
      </c>
      <c r="Q11" s="1" t="s">
        <v>68</v>
      </c>
      <c r="R11" s="1" t="s">
        <v>36</v>
      </c>
      <c r="S11" s="5">
        <v>19080</v>
      </c>
      <c r="T11" s="1" t="s">
        <v>72</v>
      </c>
      <c r="U11" s="1" t="s">
        <v>38</v>
      </c>
      <c r="V11" s="3">
        <v>46269.579861111102</v>
      </c>
      <c r="W11" s="6">
        <f t="shared" si="0"/>
        <v>7</v>
      </c>
      <c r="X11" s="6" t="str">
        <f t="shared" si="1"/>
        <v>Sim</v>
      </c>
    </row>
    <row r="12" spans="1:24" ht="15" customHeight="1" x14ac:dyDescent="0.3">
      <c r="A12" s="1" t="s">
        <v>73</v>
      </c>
      <c r="B12" s="1" t="s">
        <v>25</v>
      </c>
      <c r="C12" s="1" t="s">
        <v>40</v>
      </c>
      <c r="D12" s="1" t="s">
        <v>21</v>
      </c>
      <c r="E12" s="3">
        <v>46273.534722222197</v>
      </c>
      <c r="F12" s="3"/>
      <c r="G12" s="3">
        <v>46275.422916666699</v>
      </c>
      <c r="H12" s="1" t="s">
        <v>42</v>
      </c>
      <c r="I12" s="1" t="s">
        <v>74</v>
      </c>
      <c r="J12" s="1" t="s">
        <v>75</v>
      </c>
      <c r="K12" s="1" t="s">
        <v>30</v>
      </c>
      <c r="L12" s="1" t="s">
        <v>31</v>
      </c>
      <c r="M12" s="1" t="s">
        <v>45</v>
      </c>
      <c r="N12" s="4">
        <v>36</v>
      </c>
      <c r="O12" s="1" t="s">
        <v>46</v>
      </c>
      <c r="P12" s="1" t="s">
        <v>47</v>
      </c>
      <c r="Q12" s="1" t="s">
        <v>68</v>
      </c>
      <c r="R12" s="1" t="s">
        <v>36</v>
      </c>
      <c r="S12" s="5">
        <v>163140</v>
      </c>
      <c r="T12" s="1" t="s">
        <v>76</v>
      </c>
      <c r="U12" s="1" t="s">
        <v>38</v>
      </c>
      <c r="V12" s="3">
        <v>46275.422916666699</v>
      </c>
      <c r="W12" s="6">
        <f t="shared" si="0"/>
        <v>1</v>
      </c>
      <c r="X12" s="6" t="str">
        <f t="shared" si="1"/>
        <v>Não</v>
      </c>
    </row>
    <row r="13" spans="1:24" ht="15" customHeight="1" x14ac:dyDescent="0.3">
      <c r="A13" s="1" t="s">
        <v>77</v>
      </c>
      <c r="B13" s="1" t="s">
        <v>25</v>
      </c>
      <c r="C13" s="1" t="s">
        <v>40</v>
      </c>
      <c r="D13" s="1" t="s">
        <v>21</v>
      </c>
      <c r="E13" s="3">
        <v>46266.53125</v>
      </c>
      <c r="F13" s="3"/>
      <c r="G13" s="3">
        <v>46268.724999999999</v>
      </c>
      <c r="H13" s="1" t="s">
        <v>42</v>
      </c>
      <c r="I13" s="1" t="s">
        <v>78</v>
      </c>
      <c r="J13" s="1" t="s">
        <v>54</v>
      </c>
      <c r="K13" s="1" t="s">
        <v>30</v>
      </c>
      <c r="L13" s="1" t="s">
        <v>31</v>
      </c>
      <c r="M13" s="1" t="s">
        <v>62</v>
      </c>
      <c r="N13" s="4">
        <v>36</v>
      </c>
      <c r="O13" s="1" t="s">
        <v>46</v>
      </c>
      <c r="P13" s="1" t="s">
        <v>47</v>
      </c>
      <c r="Q13" s="1" t="s">
        <v>35</v>
      </c>
      <c r="R13" s="1" t="s">
        <v>36</v>
      </c>
      <c r="S13" s="5">
        <v>189540</v>
      </c>
      <c r="T13" s="1" t="s">
        <v>79</v>
      </c>
      <c r="U13" s="1" t="s">
        <v>38</v>
      </c>
      <c r="V13" s="3">
        <v>46268.724999999999</v>
      </c>
      <c r="W13" s="6">
        <f t="shared" si="0"/>
        <v>10</v>
      </c>
      <c r="X13" s="6" t="str">
        <f t="shared" si="1"/>
        <v>Sim</v>
      </c>
    </row>
    <row r="14" spans="1:24" ht="15" customHeight="1" x14ac:dyDescent="0.3">
      <c r="A14" s="1" t="s">
        <v>64</v>
      </c>
      <c r="B14" s="1" t="s">
        <v>25</v>
      </c>
      <c r="C14" s="1" t="s">
        <v>40</v>
      </c>
      <c r="D14" s="1" t="s">
        <v>21</v>
      </c>
      <c r="E14" s="3">
        <v>46275.390277777798</v>
      </c>
      <c r="F14" s="3"/>
      <c r="G14" s="3">
        <v>46275.626388888901</v>
      </c>
      <c r="H14" s="1" t="s">
        <v>42</v>
      </c>
      <c r="I14" s="1" t="s">
        <v>80</v>
      </c>
      <c r="J14" s="1" t="s">
        <v>66</v>
      </c>
      <c r="K14" s="1" t="s">
        <v>30</v>
      </c>
      <c r="L14" s="1" t="s">
        <v>31</v>
      </c>
      <c r="M14" s="1" t="s">
        <v>32</v>
      </c>
      <c r="N14" s="4">
        <v>36</v>
      </c>
      <c r="O14" s="1" t="s">
        <v>46</v>
      </c>
      <c r="P14" s="1" t="s">
        <v>67</v>
      </c>
      <c r="Q14" s="1" t="s">
        <v>68</v>
      </c>
      <c r="R14" s="1" t="s">
        <v>36</v>
      </c>
      <c r="S14" s="5">
        <v>20400</v>
      </c>
      <c r="T14" s="1" t="s">
        <v>69</v>
      </c>
      <c r="U14" s="1" t="s">
        <v>38</v>
      </c>
      <c r="V14" s="3">
        <v>46275.626388888901</v>
      </c>
      <c r="W14" s="6">
        <f t="shared" si="0"/>
        <v>7</v>
      </c>
      <c r="X14" s="6" t="str">
        <f t="shared" si="1"/>
        <v>Sim</v>
      </c>
    </row>
    <row r="15" spans="1:24" ht="15" customHeight="1" x14ac:dyDescent="0.3">
      <c r="A15" s="1" t="s">
        <v>70</v>
      </c>
      <c r="B15" s="1" t="s">
        <v>25</v>
      </c>
      <c r="C15" s="1" t="s">
        <v>40</v>
      </c>
      <c r="D15" s="1" t="s">
        <v>21</v>
      </c>
      <c r="E15" s="3">
        <v>46269.354166666701</v>
      </c>
      <c r="F15" s="3"/>
      <c r="G15" s="3">
        <v>46269.578472222202</v>
      </c>
      <c r="H15" s="1" t="s">
        <v>42</v>
      </c>
      <c r="I15" s="1" t="s">
        <v>81</v>
      </c>
      <c r="J15" s="1" t="s">
        <v>66</v>
      </c>
      <c r="K15" s="1" t="s">
        <v>51</v>
      </c>
      <c r="L15" s="1" t="s">
        <v>31</v>
      </c>
      <c r="M15" s="1" t="s">
        <v>32</v>
      </c>
      <c r="N15" s="4">
        <v>36</v>
      </c>
      <c r="O15" s="1" t="s">
        <v>46</v>
      </c>
      <c r="P15" s="1" t="s">
        <v>67</v>
      </c>
      <c r="Q15" s="1" t="s">
        <v>68</v>
      </c>
      <c r="R15" s="1" t="s">
        <v>36</v>
      </c>
      <c r="S15" s="5">
        <v>19380</v>
      </c>
      <c r="T15" s="1" t="s">
        <v>72</v>
      </c>
      <c r="U15" s="1" t="s">
        <v>38</v>
      </c>
      <c r="V15" s="3">
        <v>46269.578472222202</v>
      </c>
      <c r="W15" s="6">
        <f t="shared" si="0"/>
        <v>7</v>
      </c>
      <c r="X15" s="6" t="str">
        <f t="shared" si="1"/>
        <v>Sim</v>
      </c>
    </row>
    <row r="16" spans="1:24" ht="15" customHeight="1" x14ac:dyDescent="0.3">
      <c r="A16" s="1" t="s">
        <v>82</v>
      </c>
      <c r="B16" s="1" t="s">
        <v>25</v>
      </c>
      <c r="C16" s="1" t="s">
        <v>40</v>
      </c>
      <c r="D16" s="1" t="s">
        <v>21</v>
      </c>
      <c r="E16" s="3">
        <v>46268.387499999997</v>
      </c>
      <c r="F16" s="3"/>
      <c r="G16" s="3">
        <v>46273.577777777798</v>
      </c>
      <c r="H16" s="1" t="s">
        <v>42</v>
      </c>
      <c r="I16" s="1" t="s">
        <v>83</v>
      </c>
      <c r="J16" s="1" t="s">
        <v>54</v>
      </c>
      <c r="K16" s="1" t="s">
        <v>30</v>
      </c>
      <c r="L16" s="1" t="s">
        <v>31</v>
      </c>
      <c r="M16" s="1" t="s">
        <v>62</v>
      </c>
      <c r="N16" s="4">
        <v>36</v>
      </c>
      <c r="O16" s="1" t="s">
        <v>46</v>
      </c>
      <c r="P16" s="1" t="s">
        <v>47</v>
      </c>
      <c r="Q16" s="1" t="s">
        <v>35</v>
      </c>
      <c r="R16" s="1" t="s">
        <v>36</v>
      </c>
      <c r="S16" s="5">
        <v>448440</v>
      </c>
      <c r="T16" s="1" t="s">
        <v>84</v>
      </c>
      <c r="U16" s="1" t="s">
        <v>38</v>
      </c>
      <c r="V16" s="3">
        <v>46273.577777777798</v>
      </c>
      <c r="W16" s="6">
        <f t="shared" si="0"/>
        <v>10</v>
      </c>
      <c r="X16" s="6" t="str">
        <f t="shared" si="1"/>
        <v>Sim</v>
      </c>
    </row>
    <row r="17" spans="1:24" ht="15" customHeight="1" x14ac:dyDescent="0.3">
      <c r="A17" s="1" t="s">
        <v>85</v>
      </c>
      <c r="B17" s="1" t="s">
        <v>25</v>
      </c>
      <c r="C17" s="1" t="s">
        <v>40</v>
      </c>
      <c r="D17" s="1" t="s">
        <v>5</v>
      </c>
      <c r="E17" s="3">
        <v>46232.611111111102</v>
      </c>
      <c r="F17" s="3">
        <v>46241.750694444498</v>
      </c>
      <c r="G17" s="3">
        <v>46241.750694444498</v>
      </c>
      <c r="H17" s="1" t="s">
        <v>42</v>
      </c>
      <c r="I17" s="1" t="s">
        <v>86</v>
      </c>
      <c r="J17" s="1" t="s">
        <v>54</v>
      </c>
      <c r="K17" s="1" t="s">
        <v>51</v>
      </c>
      <c r="L17" s="1" t="s">
        <v>31</v>
      </c>
      <c r="M17" s="1" t="s">
        <v>45</v>
      </c>
      <c r="N17" s="4">
        <v>36</v>
      </c>
      <c r="O17" s="1" t="s">
        <v>87</v>
      </c>
      <c r="P17" s="1" t="s">
        <v>47</v>
      </c>
      <c r="Q17" s="1" t="s">
        <v>88</v>
      </c>
      <c r="R17" s="1" t="s">
        <v>36</v>
      </c>
      <c r="S17" s="5">
        <v>182160</v>
      </c>
      <c r="T17" s="1" t="s">
        <v>89</v>
      </c>
      <c r="U17" s="1" t="s">
        <v>38</v>
      </c>
      <c r="V17" s="3">
        <v>46234.719444444498</v>
      </c>
      <c r="W17" s="6">
        <f t="shared" si="0"/>
        <v>10</v>
      </c>
      <c r="X17" s="6" t="str">
        <f t="shared" si="1"/>
        <v>Sim</v>
      </c>
    </row>
    <row r="18" spans="1:24" ht="15" customHeight="1" x14ac:dyDescent="0.3">
      <c r="A18" s="1" t="s">
        <v>90</v>
      </c>
      <c r="B18" s="1" t="s">
        <v>25</v>
      </c>
      <c r="C18" s="1" t="s">
        <v>40</v>
      </c>
      <c r="D18" s="1" t="s">
        <v>5</v>
      </c>
      <c r="E18" s="3">
        <v>46234.523611111101</v>
      </c>
      <c r="F18" s="3">
        <v>46241.750694444498</v>
      </c>
      <c r="G18" s="3">
        <v>46241.750694444498</v>
      </c>
      <c r="H18" s="1" t="s">
        <v>42</v>
      </c>
      <c r="I18" s="1" t="s">
        <v>91</v>
      </c>
      <c r="J18" s="1" t="s">
        <v>59</v>
      </c>
      <c r="K18" s="1" t="s">
        <v>51</v>
      </c>
      <c r="L18" s="1" t="s">
        <v>31</v>
      </c>
      <c r="M18" s="1" t="s">
        <v>45</v>
      </c>
      <c r="N18" s="4">
        <v>36</v>
      </c>
      <c r="O18" s="1" t="s">
        <v>87</v>
      </c>
      <c r="P18" s="1" t="s">
        <v>47</v>
      </c>
      <c r="Q18" s="1" t="s">
        <v>88</v>
      </c>
      <c r="R18" s="1" t="s">
        <v>36</v>
      </c>
      <c r="S18" s="5">
        <v>17040</v>
      </c>
      <c r="T18" s="1" t="s">
        <v>92</v>
      </c>
      <c r="U18" s="1" t="s">
        <v>38</v>
      </c>
      <c r="V18" s="3">
        <v>46234.720833333296</v>
      </c>
      <c r="W18" s="6">
        <f t="shared" si="0"/>
        <v>26</v>
      </c>
      <c r="X18" s="6" t="str">
        <f t="shared" si="1"/>
        <v>Sim</v>
      </c>
    </row>
    <row r="19" spans="1:24" ht="15" customHeight="1" x14ac:dyDescent="0.3">
      <c r="A19" s="1" t="s">
        <v>93</v>
      </c>
      <c r="B19" s="1" t="s">
        <v>25</v>
      </c>
      <c r="C19" s="1" t="s">
        <v>40</v>
      </c>
      <c r="D19" s="1" t="s">
        <v>5</v>
      </c>
      <c r="E19" s="3">
        <v>46234.458333333299</v>
      </c>
      <c r="F19" s="3">
        <v>46241.750694444498</v>
      </c>
      <c r="G19" s="3">
        <v>46241.750694444498</v>
      </c>
      <c r="H19" s="1" t="s">
        <v>42</v>
      </c>
      <c r="I19" s="1" t="s">
        <v>94</v>
      </c>
      <c r="J19" s="1" t="s">
        <v>59</v>
      </c>
      <c r="K19" s="1" t="s">
        <v>51</v>
      </c>
      <c r="L19" s="1" t="s">
        <v>31</v>
      </c>
      <c r="M19" s="1" t="s">
        <v>45</v>
      </c>
      <c r="N19" s="4">
        <v>36</v>
      </c>
      <c r="O19" s="1" t="s">
        <v>46</v>
      </c>
      <c r="P19" s="1" t="s">
        <v>47</v>
      </c>
      <c r="Q19" s="1" t="s">
        <v>88</v>
      </c>
      <c r="R19" s="1" t="s">
        <v>36</v>
      </c>
      <c r="S19" s="5">
        <v>22740</v>
      </c>
      <c r="T19" s="1" t="s">
        <v>95</v>
      </c>
      <c r="U19" s="1" t="s">
        <v>38</v>
      </c>
      <c r="V19" s="3">
        <v>46234.721527777801</v>
      </c>
      <c r="W19" s="6">
        <f t="shared" si="0"/>
        <v>26</v>
      </c>
      <c r="X19" s="6" t="str">
        <f t="shared" si="1"/>
        <v>Sim</v>
      </c>
    </row>
    <row r="20" spans="1:24" ht="15" customHeight="1" x14ac:dyDescent="0.3">
      <c r="A20" s="1" t="s">
        <v>96</v>
      </c>
      <c r="B20" s="1" t="s">
        <v>25</v>
      </c>
      <c r="C20" s="1" t="s">
        <v>40</v>
      </c>
      <c r="D20" s="1" t="s">
        <v>5</v>
      </c>
      <c r="E20" s="3">
        <v>46233.4597222222</v>
      </c>
      <c r="F20" s="3">
        <v>46241.750694444498</v>
      </c>
      <c r="G20" s="3">
        <v>46241.750694444498</v>
      </c>
      <c r="H20" s="1" t="s">
        <v>42</v>
      </c>
      <c r="I20" s="1" t="s">
        <v>97</v>
      </c>
      <c r="J20" s="1" t="s">
        <v>54</v>
      </c>
      <c r="K20" s="1" t="s">
        <v>51</v>
      </c>
      <c r="L20" s="1" t="s">
        <v>31</v>
      </c>
      <c r="M20" s="1" t="s">
        <v>45</v>
      </c>
      <c r="N20" s="4">
        <v>36</v>
      </c>
      <c r="O20" s="1" t="s">
        <v>33</v>
      </c>
      <c r="P20" s="1" t="s">
        <v>47</v>
      </c>
      <c r="Q20" s="1" t="s">
        <v>68</v>
      </c>
      <c r="R20" s="1" t="s">
        <v>36</v>
      </c>
      <c r="S20" s="5">
        <v>109140</v>
      </c>
      <c r="T20" s="1" t="s">
        <v>98</v>
      </c>
      <c r="U20" s="1" t="s">
        <v>38</v>
      </c>
      <c r="V20" s="3">
        <v>46234.722916666702</v>
      </c>
      <c r="W20" s="6">
        <f t="shared" si="0"/>
        <v>10</v>
      </c>
      <c r="X20" s="6" t="str">
        <f t="shared" si="1"/>
        <v>Sim</v>
      </c>
    </row>
    <row r="21" spans="1:24" ht="15" customHeight="1" x14ac:dyDescent="0.3">
      <c r="A21" s="1" t="s">
        <v>99</v>
      </c>
      <c r="B21" s="1" t="s">
        <v>25</v>
      </c>
      <c r="C21" s="1" t="s">
        <v>40</v>
      </c>
      <c r="D21" s="1" t="s">
        <v>5</v>
      </c>
      <c r="E21" s="3">
        <v>46205.595833333296</v>
      </c>
      <c r="F21" s="3">
        <v>46216.708333333299</v>
      </c>
      <c r="G21" s="3">
        <v>46216.708333333299</v>
      </c>
      <c r="H21" s="1" t="s">
        <v>42</v>
      </c>
      <c r="I21" s="1" t="s">
        <v>100</v>
      </c>
      <c r="J21" s="1" t="s">
        <v>101</v>
      </c>
      <c r="K21" s="1" t="s">
        <v>30</v>
      </c>
      <c r="L21" s="1" t="s">
        <v>31</v>
      </c>
      <c r="M21" s="1" t="s">
        <v>62</v>
      </c>
      <c r="N21" s="4">
        <v>36</v>
      </c>
      <c r="O21" s="1" t="s">
        <v>46</v>
      </c>
      <c r="P21" s="1" t="s">
        <v>47</v>
      </c>
      <c r="Q21" s="1" t="s">
        <v>35</v>
      </c>
      <c r="R21" s="1" t="s">
        <v>36</v>
      </c>
      <c r="S21" s="5">
        <v>353040</v>
      </c>
      <c r="T21" s="1" t="s">
        <v>102</v>
      </c>
      <c r="U21" s="1" t="s">
        <v>38</v>
      </c>
      <c r="V21" s="3">
        <v>46209.681944444397</v>
      </c>
      <c r="W21" s="6">
        <f t="shared" si="0"/>
        <v>6</v>
      </c>
      <c r="X21" s="6" t="str">
        <f t="shared" si="1"/>
        <v>Sim</v>
      </c>
    </row>
    <row r="22" spans="1:24" ht="15" customHeight="1" x14ac:dyDescent="0.3">
      <c r="A22" s="1" t="s">
        <v>103</v>
      </c>
      <c r="B22" s="1" t="s">
        <v>25</v>
      </c>
      <c r="C22" s="1" t="s">
        <v>40</v>
      </c>
      <c r="D22" s="1" t="s">
        <v>5</v>
      </c>
      <c r="E22" s="3">
        <v>46205.351388888899</v>
      </c>
      <c r="F22" s="3">
        <v>46216.75</v>
      </c>
      <c r="G22" s="3">
        <v>46216.75</v>
      </c>
      <c r="H22" s="1" t="s">
        <v>42</v>
      </c>
      <c r="I22" s="1" t="s">
        <v>104</v>
      </c>
      <c r="J22" s="1" t="s">
        <v>105</v>
      </c>
      <c r="K22" s="1" t="s">
        <v>30</v>
      </c>
      <c r="L22" s="1" t="s">
        <v>31</v>
      </c>
      <c r="M22" s="1" t="s">
        <v>62</v>
      </c>
      <c r="N22" s="4">
        <v>36</v>
      </c>
      <c r="O22" s="1" t="s">
        <v>46</v>
      </c>
      <c r="P22" s="1" t="s">
        <v>47</v>
      </c>
      <c r="Q22" s="1" t="s">
        <v>35</v>
      </c>
      <c r="R22" s="1" t="s">
        <v>36</v>
      </c>
      <c r="S22" s="5">
        <v>376440</v>
      </c>
      <c r="T22" s="1" t="s">
        <v>106</v>
      </c>
      <c r="U22" s="1" t="s">
        <v>38</v>
      </c>
      <c r="V22" s="3">
        <v>46209.708333333299</v>
      </c>
      <c r="W22" s="6">
        <f t="shared" si="0"/>
        <v>2</v>
      </c>
      <c r="X22" s="6" t="str">
        <f t="shared" si="1"/>
        <v>Sim</v>
      </c>
    </row>
    <row r="23" spans="1:24" ht="15" customHeight="1" x14ac:dyDescent="0.3">
      <c r="A23" s="1" t="s">
        <v>107</v>
      </c>
      <c r="B23" s="1" t="s">
        <v>25</v>
      </c>
      <c r="C23" s="1" t="s">
        <v>40</v>
      </c>
      <c r="D23" s="1" t="s">
        <v>5</v>
      </c>
      <c r="E23" s="3">
        <v>46202.375694444498</v>
      </c>
      <c r="F23" s="3">
        <v>46216.75</v>
      </c>
      <c r="G23" s="3">
        <v>46216.75</v>
      </c>
      <c r="H23" s="1" t="s">
        <v>42</v>
      </c>
      <c r="I23" s="1" t="s">
        <v>108</v>
      </c>
      <c r="J23" s="1" t="s">
        <v>101</v>
      </c>
      <c r="K23" s="1" t="s">
        <v>30</v>
      </c>
      <c r="L23" s="1" t="s">
        <v>31</v>
      </c>
      <c r="M23" s="1" t="s">
        <v>62</v>
      </c>
      <c r="N23" s="4">
        <v>36</v>
      </c>
      <c r="O23" s="1" t="s">
        <v>46</v>
      </c>
      <c r="P23" s="1" t="s">
        <v>47</v>
      </c>
      <c r="Q23" s="1" t="s">
        <v>35</v>
      </c>
      <c r="R23" s="1" t="s">
        <v>36</v>
      </c>
      <c r="S23" s="5">
        <v>634500</v>
      </c>
      <c r="T23" s="1" t="s">
        <v>109</v>
      </c>
      <c r="U23" s="1" t="s">
        <v>38</v>
      </c>
      <c r="V23" s="3">
        <v>46209.719444444498</v>
      </c>
      <c r="W23" s="6">
        <f t="shared" si="0"/>
        <v>6</v>
      </c>
      <c r="X23" s="6" t="str">
        <f t="shared" si="1"/>
        <v>Sim</v>
      </c>
    </row>
    <row r="24" spans="1:24" ht="15" customHeight="1" x14ac:dyDescent="0.3">
      <c r="A24" s="1" t="s">
        <v>110</v>
      </c>
      <c r="B24" s="1" t="s">
        <v>25</v>
      </c>
      <c r="C24" s="1" t="s">
        <v>40</v>
      </c>
      <c r="D24" s="1" t="s">
        <v>5</v>
      </c>
      <c r="E24" s="3">
        <v>46216.701388888898</v>
      </c>
      <c r="F24" s="3">
        <v>46224.708333333299</v>
      </c>
      <c r="G24" s="3">
        <v>46224.708333333299</v>
      </c>
      <c r="H24" s="1" t="s">
        <v>42</v>
      </c>
      <c r="I24" s="1" t="s">
        <v>111</v>
      </c>
      <c r="J24" s="1" t="s">
        <v>66</v>
      </c>
      <c r="K24" s="1" t="s">
        <v>30</v>
      </c>
      <c r="L24" s="1" t="s">
        <v>31</v>
      </c>
      <c r="M24" s="1" t="s">
        <v>62</v>
      </c>
      <c r="N24" s="4">
        <v>36</v>
      </c>
      <c r="O24" s="1" t="s">
        <v>46</v>
      </c>
      <c r="P24" s="1" t="s">
        <v>67</v>
      </c>
      <c r="Q24" s="1" t="s">
        <v>35</v>
      </c>
      <c r="R24" s="1" t="s">
        <v>36</v>
      </c>
      <c r="S24" s="5">
        <v>84840</v>
      </c>
      <c r="T24" s="1" t="s">
        <v>112</v>
      </c>
      <c r="U24" s="1" t="s">
        <v>38</v>
      </c>
      <c r="V24" s="3">
        <v>46217.683333333298</v>
      </c>
      <c r="W24" s="6">
        <f t="shared" si="0"/>
        <v>7</v>
      </c>
      <c r="X24" s="6" t="str">
        <f t="shared" si="1"/>
        <v>Sim</v>
      </c>
    </row>
    <row r="25" spans="1:24" ht="15" customHeight="1" x14ac:dyDescent="0.3">
      <c r="A25" s="1" t="s">
        <v>113</v>
      </c>
      <c r="B25" s="1" t="s">
        <v>25</v>
      </c>
      <c r="C25" s="1" t="s">
        <v>40</v>
      </c>
      <c r="D25" s="1" t="s">
        <v>5</v>
      </c>
      <c r="E25" s="3">
        <v>46217.491666666698</v>
      </c>
      <c r="F25" s="3">
        <v>46224.708333333299</v>
      </c>
      <c r="G25" s="3">
        <v>46224.708333333299</v>
      </c>
      <c r="H25" s="1" t="s">
        <v>42</v>
      </c>
      <c r="I25" s="1" t="s">
        <v>114</v>
      </c>
      <c r="J25" s="1" t="s">
        <v>101</v>
      </c>
      <c r="K25" s="1" t="s">
        <v>30</v>
      </c>
      <c r="L25" s="1" t="s">
        <v>31</v>
      </c>
      <c r="M25" s="1" t="s">
        <v>62</v>
      </c>
      <c r="N25" s="4">
        <v>36</v>
      </c>
      <c r="O25" s="1" t="s">
        <v>46</v>
      </c>
      <c r="P25" s="1" t="s">
        <v>47</v>
      </c>
      <c r="Q25" s="1" t="s">
        <v>35</v>
      </c>
      <c r="R25" s="1" t="s">
        <v>36</v>
      </c>
      <c r="S25" s="5">
        <v>17280</v>
      </c>
      <c r="T25" s="1" t="s">
        <v>115</v>
      </c>
      <c r="U25" s="1" t="s">
        <v>38</v>
      </c>
      <c r="V25" s="3">
        <v>46217.691666666702</v>
      </c>
      <c r="W25" s="6">
        <f t="shared" si="0"/>
        <v>6</v>
      </c>
      <c r="X25" s="6" t="str">
        <f t="shared" si="1"/>
        <v>Sim</v>
      </c>
    </row>
    <row r="26" spans="1:24" ht="15" customHeight="1" x14ac:dyDescent="0.3">
      <c r="A26" s="1" t="s">
        <v>116</v>
      </c>
      <c r="B26" s="1" t="s">
        <v>25</v>
      </c>
      <c r="C26" s="1" t="s">
        <v>40</v>
      </c>
      <c r="D26" s="1" t="s">
        <v>5</v>
      </c>
      <c r="E26" s="3">
        <v>46225.462500000001</v>
      </c>
      <c r="F26" s="3">
        <v>46239.375</v>
      </c>
      <c r="G26" s="3">
        <v>46239.375</v>
      </c>
      <c r="H26" s="1" t="s">
        <v>42</v>
      </c>
      <c r="I26" s="1" t="s">
        <v>117</v>
      </c>
      <c r="J26" s="1" t="s">
        <v>118</v>
      </c>
      <c r="K26" s="1" t="s">
        <v>30</v>
      </c>
      <c r="L26" s="1" t="s">
        <v>31</v>
      </c>
      <c r="M26" s="1" t="s">
        <v>45</v>
      </c>
      <c r="N26" s="4">
        <v>36</v>
      </c>
      <c r="O26" s="1" t="s">
        <v>46</v>
      </c>
      <c r="P26" s="1" t="s">
        <v>47</v>
      </c>
      <c r="Q26" s="1" t="s">
        <v>35</v>
      </c>
      <c r="R26" s="1" t="s">
        <v>36</v>
      </c>
      <c r="S26" s="5">
        <v>596820</v>
      </c>
      <c r="T26" s="1" t="s">
        <v>119</v>
      </c>
      <c r="U26" s="1" t="s">
        <v>120</v>
      </c>
      <c r="V26" s="3">
        <v>46232.370138888902</v>
      </c>
      <c r="W26" s="6">
        <f t="shared" si="0"/>
        <v>2</v>
      </c>
      <c r="X26" s="6" t="str">
        <f t="shared" si="1"/>
        <v>Sim</v>
      </c>
    </row>
    <row r="27" spans="1:24" ht="15" customHeight="1" x14ac:dyDescent="0.3">
      <c r="A27" s="1" t="s">
        <v>121</v>
      </c>
      <c r="B27" s="1" t="s">
        <v>25</v>
      </c>
      <c r="C27" s="1" t="s">
        <v>40</v>
      </c>
      <c r="D27" s="1" t="s">
        <v>5</v>
      </c>
      <c r="E27" s="3">
        <v>46197.723611111098</v>
      </c>
      <c r="F27" s="3">
        <v>46210.875</v>
      </c>
      <c r="G27" s="3">
        <v>46210.875</v>
      </c>
      <c r="H27" s="1" t="s">
        <v>42</v>
      </c>
      <c r="I27" s="1" t="s">
        <v>122</v>
      </c>
      <c r="J27" s="1" t="s">
        <v>123</v>
      </c>
      <c r="K27" s="1" t="s">
        <v>30</v>
      </c>
      <c r="L27" s="1" t="s">
        <v>31</v>
      </c>
      <c r="M27" s="1" t="s">
        <v>62</v>
      </c>
      <c r="N27" s="4">
        <v>36</v>
      </c>
      <c r="O27" s="1" t="s">
        <v>46</v>
      </c>
      <c r="P27" s="1" t="s">
        <v>47</v>
      </c>
      <c r="Q27" s="1" t="s">
        <v>35</v>
      </c>
      <c r="R27" s="1" t="s">
        <v>36</v>
      </c>
      <c r="S27" s="5">
        <v>528120</v>
      </c>
      <c r="T27" s="1" t="s">
        <v>124</v>
      </c>
      <c r="U27" s="1" t="s">
        <v>38</v>
      </c>
      <c r="V27" s="3">
        <v>46203.836111111101</v>
      </c>
      <c r="W27" s="6">
        <f t="shared" si="0"/>
        <v>7</v>
      </c>
      <c r="X27" s="6" t="str">
        <f t="shared" si="1"/>
        <v>Sim</v>
      </c>
    </row>
    <row r="28" spans="1:24" ht="15" customHeight="1" x14ac:dyDescent="0.3">
      <c r="A28" s="1" t="s">
        <v>125</v>
      </c>
      <c r="B28" s="1" t="s">
        <v>25</v>
      </c>
      <c r="C28" s="1" t="s">
        <v>40</v>
      </c>
      <c r="D28" s="1" t="s">
        <v>5</v>
      </c>
      <c r="E28" s="3">
        <v>46204.346527777801</v>
      </c>
      <c r="F28" s="3">
        <v>46217.75</v>
      </c>
      <c r="G28" s="3">
        <v>46217.75</v>
      </c>
      <c r="H28" s="1" t="s">
        <v>42</v>
      </c>
      <c r="I28" s="1" t="s">
        <v>126</v>
      </c>
      <c r="J28" s="1" t="s">
        <v>59</v>
      </c>
      <c r="K28" s="1" t="s">
        <v>30</v>
      </c>
      <c r="L28" s="1" t="s">
        <v>31</v>
      </c>
      <c r="M28" s="1" t="s">
        <v>62</v>
      </c>
      <c r="N28" s="4">
        <v>36</v>
      </c>
      <c r="O28" s="1" t="s">
        <v>46</v>
      </c>
      <c r="P28" s="1" t="s">
        <v>47</v>
      </c>
      <c r="Q28" s="1" t="s">
        <v>35</v>
      </c>
      <c r="R28" s="1" t="s">
        <v>36</v>
      </c>
      <c r="S28" s="5">
        <v>550500</v>
      </c>
      <c r="T28" s="1" t="s">
        <v>127</v>
      </c>
      <c r="U28" s="1" t="s">
        <v>38</v>
      </c>
      <c r="V28" s="3">
        <v>46210.718055555597</v>
      </c>
      <c r="W28" s="6">
        <f t="shared" si="0"/>
        <v>26</v>
      </c>
      <c r="X28" s="6" t="str">
        <f t="shared" si="1"/>
        <v>Sim</v>
      </c>
    </row>
    <row r="29" spans="1:24" ht="15" customHeight="1" x14ac:dyDescent="0.3">
      <c r="A29" s="1" t="s">
        <v>128</v>
      </c>
      <c r="B29" s="1" t="s">
        <v>25</v>
      </c>
      <c r="C29" s="1" t="s">
        <v>40</v>
      </c>
      <c r="D29" s="1" t="s">
        <v>5</v>
      </c>
      <c r="E29" s="3">
        <v>46234.501388888901</v>
      </c>
      <c r="F29" s="3">
        <v>46244.541666666701</v>
      </c>
      <c r="G29" s="3">
        <v>46244.541666666701</v>
      </c>
      <c r="H29" s="1" t="s">
        <v>42</v>
      </c>
      <c r="I29" s="1" t="s">
        <v>129</v>
      </c>
      <c r="J29" s="1" t="s">
        <v>59</v>
      </c>
      <c r="K29" s="1" t="s">
        <v>30</v>
      </c>
      <c r="L29" s="1" t="s">
        <v>31</v>
      </c>
      <c r="M29" s="1" t="s">
        <v>45</v>
      </c>
      <c r="N29" s="4">
        <v>36</v>
      </c>
      <c r="O29" s="1" t="s">
        <v>33</v>
      </c>
      <c r="P29" s="1" t="s">
        <v>47</v>
      </c>
      <c r="Q29" s="1" t="s">
        <v>35</v>
      </c>
      <c r="R29" s="1" t="s">
        <v>36</v>
      </c>
      <c r="S29" s="5">
        <v>262440</v>
      </c>
      <c r="T29" s="1" t="s">
        <v>130</v>
      </c>
      <c r="U29" s="1" t="s">
        <v>38</v>
      </c>
      <c r="V29" s="3">
        <v>46237.538888888899</v>
      </c>
      <c r="W29" s="6">
        <f t="shared" si="0"/>
        <v>26</v>
      </c>
      <c r="X29" s="6" t="str">
        <f t="shared" si="1"/>
        <v>Sim</v>
      </c>
    </row>
    <row r="30" spans="1:24" ht="15" customHeight="1" x14ac:dyDescent="0.3">
      <c r="A30" s="1" t="s">
        <v>131</v>
      </c>
      <c r="B30" s="1" t="s">
        <v>25</v>
      </c>
      <c r="C30" s="1" t="s">
        <v>40</v>
      </c>
      <c r="D30" s="1" t="s">
        <v>5</v>
      </c>
      <c r="E30" s="3">
        <v>46210.559027777803</v>
      </c>
      <c r="F30" s="3">
        <v>46220.666666666701</v>
      </c>
      <c r="G30" s="3">
        <v>46220.666666666701</v>
      </c>
      <c r="H30" s="1" t="s">
        <v>42</v>
      </c>
      <c r="I30" s="1" t="s">
        <v>132</v>
      </c>
      <c r="J30" s="1" t="s">
        <v>133</v>
      </c>
      <c r="K30" s="1" t="s">
        <v>30</v>
      </c>
      <c r="L30" s="1" t="s">
        <v>31</v>
      </c>
      <c r="M30" s="1" t="s">
        <v>62</v>
      </c>
      <c r="N30" s="4">
        <v>36</v>
      </c>
      <c r="O30" s="1" t="s">
        <v>46</v>
      </c>
      <c r="P30" s="1" t="s">
        <v>134</v>
      </c>
      <c r="Q30" s="1" t="s">
        <v>35</v>
      </c>
      <c r="R30" s="1" t="s">
        <v>36</v>
      </c>
      <c r="S30" s="5">
        <v>267540</v>
      </c>
      <c r="T30" s="1" t="s">
        <v>135</v>
      </c>
      <c r="U30" s="1" t="s">
        <v>120</v>
      </c>
      <c r="V30" s="3">
        <v>46213.655555555597</v>
      </c>
      <c r="W30" s="6">
        <f t="shared" si="0"/>
        <v>1</v>
      </c>
      <c r="X30" s="6" t="str">
        <f t="shared" si="1"/>
        <v>Não</v>
      </c>
    </row>
    <row r="31" spans="1:24" ht="15" customHeight="1" x14ac:dyDescent="0.3">
      <c r="A31" s="1" t="s">
        <v>136</v>
      </c>
      <c r="B31" s="1" t="s">
        <v>25</v>
      </c>
      <c r="C31" s="1" t="s">
        <v>40</v>
      </c>
      <c r="D31" s="1" t="s">
        <v>5</v>
      </c>
      <c r="E31" s="3">
        <v>46219.440972222197</v>
      </c>
      <c r="F31" s="3">
        <v>46231.625</v>
      </c>
      <c r="G31" s="3">
        <v>46231.625</v>
      </c>
      <c r="H31" s="1" t="s">
        <v>42</v>
      </c>
      <c r="I31" s="1" t="s">
        <v>137</v>
      </c>
      <c r="J31" s="1" t="s">
        <v>138</v>
      </c>
      <c r="K31" s="1" t="s">
        <v>51</v>
      </c>
      <c r="L31" s="1" t="s">
        <v>31</v>
      </c>
      <c r="M31" s="1" t="s">
        <v>62</v>
      </c>
      <c r="N31" s="4">
        <v>36</v>
      </c>
      <c r="O31" s="1" t="s">
        <v>46</v>
      </c>
      <c r="P31" s="1" t="s">
        <v>47</v>
      </c>
      <c r="Q31" s="1" t="s">
        <v>35</v>
      </c>
      <c r="R31" s="1" t="s">
        <v>36</v>
      </c>
      <c r="S31" s="5">
        <v>446280</v>
      </c>
      <c r="T31" s="1" t="s">
        <v>139</v>
      </c>
      <c r="U31" s="1" t="s">
        <v>38</v>
      </c>
      <c r="V31" s="3">
        <v>46224.606249999997</v>
      </c>
      <c r="W31" s="6">
        <f t="shared" si="0"/>
        <v>2</v>
      </c>
      <c r="X31" s="6" t="str">
        <f t="shared" si="1"/>
        <v>Sim</v>
      </c>
    </row>
    <row r="32" spans="1:24" ht="15" customHeight="1" x14ac:dyDescent="0.3">
      <c r="A32" s="1" t="s">
        <v>140</v>
      </c>
      <c r="B32" s="1" t="s">
        <v>25</v>
      </c>
      <c r="C32" s="1" t="s">
        <v>40</v>
      </c>
      <c r="D32" s="1" t="s">
        <v>5</v>
      </c>
      <c r="E32" s="3">
        <v>46186.619444444397</v>
      </c>
      <c r="F32" s="3">
        <v>46193.708333333299</v>
      </c>
      <c r="G32" s="3">
        <v>46193.708333333299</v>
      </c>
      <c r="H32" s="1" t="s">
        <v>42</v>
      </c>
      <c r="I32" s="1" t="s">
        <v>141</v>
      </c>
      <c r="J32" s="1" t="s">
        <v>142</v>
      </c>
      <c r="K32" s="1" t="s">
        <v>30</v>
      </c>
      <c r="L32" s="1" t="s">
        <v>31</v>
      </c>
      <c r="M32" s="1" t="s">
        <v>143</v>
      </c>
      <c r="N32" s="4">
        <v>36</v>
      </c>
      <c r="O32" s="1" t="s">
        <v>144</v>
      </c>
      <c r="Q32" s="1" t="s">
        <v>145</v>
      </c>
      <c r="R32" s="1" t="s">
        <v>36</v>
      </c>
      <c r="S32" s="5">
        <v>6540</v>
      </c>
      <c r="T32" s="1" t="s">
        <v>146</v>
      </c>
      <c r="U32" s="1" t="s">
        <v>38</v>
      </c>
      <c r="V32" s="3">
        <v>46186.695138888899</v>
      </c>
      <c r="W32" s="6">
        <f t="shared" si="0"/>
        <v>1</v>
      </c>
      <c r="X32" s="6" t="str">
        <f t="shared" si="1"/>
        <v>Não</v>
      </c>
    </row>
    <row r="33" spans="1:24" ht="15" customHeight="1" x14ac:dyDescent="0.3">
      <c r="A33" s="1" t="s">
        <v>147</v>
      </c>
      <c r="B33" s="1" t="s">
        <v>25</v>
      </c>
      <c r="C33" s="1" t="s">
        <v>40</v>
      </c>
      <c r="D33" s="1" t="s">
        <v>5</v>
      </c>
      <c r="E33" s="3">
        <v>46186.628472222197</v>
      </c>
      <c r="F33" s="3">
        <v>46193.708333333299</v>
      </c>
      <c r="G33" s="3">
        <v>46193.708333333299</v>
      </c>
      <c r="H33" s="1" t="s">
        <v>42</v>
      </c>
      <c r="I33" s="1" t="s">
        <v>148</v>
      </c>
      <c r="J33" s="1" t="s">
        <v>149</v>
      </c>
      <c r="K33" s="1" t="s">
        <v>30</v>
      </c>
      <c r="L33" s="1" t="s">
        <v>31</v>
      </c>
      <c r="M33" s="1" t="s">
        <v>143</v>
      </c>
      <c r="N33" s="4">
        <v>36</v>
      </c>
      <c r="O33" s="1" t="s">
        <v>46</v>
      </c>
      <c r="Q33" s="1" t="s">
        <v>145</v>
      </c>
      <c r="R33" s="1" t="s">
        <v>36</v>
      </c>
      <c r="S33" s="5">
        <v>5760</v>
      </c>
      <c r="T33" s="1" t="s">
        <v>146</v>
      </c>
      <c r="U33" s="1" t="s">
        <v>38</v>
      </c>
      <c r="V33" s="3">
        <v>46186.695138888899</v>
      </c>
      <c r="W33" s="6">
        <f t="shared" si="0"/>
        <v>1</v>
      </c>
      <c r="X33" s="6" t="str">
        <f t="shared" si="1"/>
        <v>Não</v>
      </c>
    </row>
    <row r="34" spans="1:24" ht="15" customHeight="1" x14ac:dyDescent="0.3">
      <c r="A34" s="1" t="s">
        <v>150</v>
      </c>
      <c r="B34" s="1" t="s">
        <v>25</v>
      </c>
      <c r="C34" s="1" t="s">
        <v>40</v>
      </c>
      <c r="D34" s="1" t="s">
        <v>5</v>
      </c>
      <c r="E34" s="3">
        <v>46186.686805555597</v>
      </c>
      <c r="F34" s="3">
        <v>46193.708333333299</v>
      </c>
      <c r="G34" s="3">
        <v>46193.708333333299</v>
      </c>
      <c r="H34" s="1" t="s">
        <v>42</v>
      </c>
      <c r="I34" s="1" t="s">
        <v>151</v>
      </c>
      <c r="J34" s="1" t="s">
        <v>152</v>
      </c>
      <c r="K34" s="1" t="s">
        <v>30</v>
      </c>
      <c r="L34" s="1" t="s">
        <v>31</v>
      </c>
      <c r="M34" s="1" t="s">
        <v>143</v>
      </c>
      <c r="N34" s="4">
        <v>36</v>
      </c>
      <c r="O34" s="1" t="s">
        <v>46</v>
      </c>
      <c r="Q34" s="1" t="s">
        <v>145</v>
      </c>
      <c r="R34" s="1" t="s">
        <v>36</v>
      </c>
      <c r="S34" s="5">
        <v>720</v>
      </c>
      <c r="T34" s="1" t="s">
        <v>146</v>
      </c>
      <c r="U34" s="1" t="s">
        <v>38</v>
      </c>
      <c r="V34" s="3">
        <v>46186.695138888899</v>
      </c>
      <c r="W34" s="6">
        <f t="shared" si="0"/>
        <v>1</v>
      </c>
      <c r="X34" s="6" t="str">
        <f t="shared" si="1"/>
        <v>Não</v>
      </c>
    </row>
    <row r="35" spans="1:24" ht="15" customHeight="1" x14ac:dyDescent="0.3">
      <c r="A35" s="1" t="s">
        <v>140</v>
      </c>
      <c r="B35" s="1" t="s">
        <v>25</v>
      </c>
      <c r="C35" s="1" t="s">
        <v>40</v>
      </c>
      <c r="D35" s="1" t="s">
        <v>5</v>
      </c>
      <c r="E35" s="3">
        <v>46186.622222222199</v>
      </c>
      <c r="F35" s="3">
        <v>46193.708333333299</v>
      </c>
      <c r="G35" s="3">
        <v>46193.708333333299</v>
      </c>
      <c r="H35" s="1" t="s">
        <v>42</v>
      </c>
      <c r="I35" s="1" t="s">
        <v>153</v>
      </c>
      <c r="J35" s="1" t="s">
        <v>154</v>
      </c>
      <c r="K35" s="1" t="s">
        <v>30</v>
      </c>
      <c r="L35" s="1" t="s">
        <v>31</v>
      </c>
      <c r="M35" s="1" t="s">
        <v>143</v>
      </c>
      <c r="N35" s="4">
        <v>36</v>
      </c>
      <c r="O35" s="1" t="s">
        <v>46</v>
      </c>
      <c r="Q35" s="1" t="s">
        <v>145</v>
      </c>
      <c r="R35" s="1" t="s">
        <v>36</v>
      </c>
      <c r="S35" s="5">
        <v>6300</v>
      </c>
      <c r="T35" s="1" t="s">
        <v>146</v>
      </c>
      <c r="U35" s="1" t="s">
        <v>38</v>
      </c>
      <c r="V35" s="3">
        <v>46186.695138888899</v>
      </c>
      <c r="W35" s="6">
        <f t="shared" si="0"/>
        <v>1</v>
      </c>
      <c r="X35" s="6" t="str">
        <f t="shared" si="1"/>
        <v>Não</v>
      </c>
    </row>
    <row r="36" spans="1:24" ht="15" customHeight="1" x14ac:dyDescent="0.3">
      <c r="A36" s="1" t="s">
        <v>155</v>
      </c>
      <c r="B36" s="1" t="s">
        <v>25</v>
      </c>
      <c r="C36" s="1" t="s">
        <v>40</v>
      </c>
      <c r="D36" s="1" t="s">
        <v>5</v>
      </c>
      <c r="E36" s="3">
        <v>46186.6652777778</v>
      </c>
      <c r="F36" s="3">
        <v>46193.708333333299</v>
      </c>
      <c r="G36" s="3">
        <v>46193.708333333299</v>
      </c>
      <c r="H36" s="1" t="s">
        <v>42</v>
      </c>
      <c r="I36" s="1" t="s">
        <v>156</v>
      </c>
      <c r="J36" s="1" t="s">
        <v>157</v>
      </c>
      <c r="K36" s="1" t="s">
        <v>51</v>
      </c>
      <c r="L36" s="1" t="s">
        <v>31</v>
      </c>
      <c r="M36" s="1" t="s">
        <v>143</v>
      </c>
      <c r="N36" s="4">
        <v>36</v>
      </c>
      <c r="O36" s="1" t="s">
        <v>46</v>
      </c>
      <c r="Q36" s="1" t="s">
        <v>145</v>
      </c>
      <c r="R36" s="1" t="s">
        <v>36</v>
      </c>
      <c r="S36" s="5">
        <v>2580</v>
      </c>
      <c r="T36" s="1" t="s">
        <v>146</v>
      </c>
      <c r="U36" s="1" t="s">
        <v>38</v>
      </c>
      <c r="V36" s="3">
        <v>46186.695138888899</v>
      </c>
      <c r="W36" s="6">
        <f t="shared" si="0"/>
        <v>1</v>
      </c>
      <c r="X36" s="6" t="str">
        <f t="shared" si="1"/>
        <v>Não</v>
      </c>
    </row>
    <row r="37" spans="1:24" ht="15" customHeight="1" x14ac:dyDescent="0.3">
      <c r="A37" s="1" t="s">
        <v>158</v>
      </c>
      <c r="B37" s="1" t="s">
        <v>25</v>
      </c>
      <c r="C37" s="1" t="s">
        <v>40</v>
      </c>
      <c r="D37" s="1" t="s">
        <v>5</v>
      </c>
      <c r="E37" s="3">
        <v>46186.684027777803</v>
      </c>
      <c r="F37" s="3">
        <v>46193.708333333299</v>
      </c>
      <c r="G37" s="3">
        <v>46193.708333333299</v>
      </c>
      <c r="H37" s="1" t="s">
        <v>42</v>
      </c>
      <c r="I37" s="1" t="s">
        <v>159</v>
      </c>
      <c r="J37" s="1" t="s">
        <v>105</v>
      </c>
      <c r="K37" s="1" t="s">
        <v>30</v>
      </c>
      <c r="L37" s="1" t="s">
        <v>31</v>
      </c>
      <c r="M37" s="1" t="s">
        <v>143</v>
      </c>
      <c r="N37" s="4">
        <v>36</v>
      </c>
      <c r="O37" s="1" t="s">
        <v>46</v>
      </c>
      <c r="Q37" s="1" t="s">
        <v>145</v>
      </c>
      <c r="R37" s="1" t="s">
        <v>36</v>
      </c>
      <c r="S37" s="5">
        <v>960</v>
      </c>
      <c r="T37" s="1" t="s">
        <v>146</v>
      </c>
      <c r="U37" s="1" t="s">
        <v>38</v>
      </c>
      <c r="V37" s="3">
        <v>46186.695138888899</v>
      </c>
      <c r="W37" s="6">
        <f t="shared" si="0"/>
        <v>2</v>
      </c>
      <c r="X37" s="6" t="str">
        <f t="shared" si="1"/>
        <v>Sim</v>
      </c>
    </row>
    <row r="38" spans="1:24" ht="15" customHeight="1" x14ac:dyDescent="0.3">
      <c r="A38" s="1" t="s">
        <v>160</v>
      </c>
      <c r="B38" s="1" t="s">
        <v>25</v>
      </c>
      <c r="C38" s="1" t="s">
        <v>40</v>
      </c>
      <c r="D38" s="1" t="s">
        <v>5</v>
      </c>
      <c r="E38" s="3">
        <v>46186.6118055556</v>
      </c>
      <c r="F38" s="3">
        <v>46193.708333333299</v>
      </c>
      <c r="G38" s="3">
        <v>46193.708333333299</v>
      </c>
      <c r="H38" s="1" t="s">
        <v>42</v>
      </c>
      <c r="I38" s="1" t="s">
        <v>161</v>
      </c>
      <c r="J38" s="1" t="s">
        <v>162</v>
      </c>
      <c r="K38" s="1" t="s">
        <v>30</v>
      </c>
      <c r="L38" s="1" t="s">
        <v>31</v>
      </c>
      <c r="M38" s="1" t="s">
        <v>143</v>
      </c>
      <c r="N38" s="4">
        <v>36</v>
      </c>
      <c r="O38" s="1" t="s">
        <v>46</v>
      </c>
      <c r="Q38" s="1" t="s">
        <v>145</v>
      </c>
      <c r="R38" s="1" t="s">
        <v>36</v>
      </c>
      <c r="S38" s="5">
        <v>7200</v>
      </c>
      <c r="T38" s="1" t="s">
        <v>146</v>
      </c>
      <c r="U38" s="1" t="s">
        <v>38</v>
      </c>
      <c r="V38" s="3">
        <v>46186.695138888899</v>
      </c>
      <c r="W38" s="6">
        <f t="shared" si="0"/>
        <v>2</v>
      </c>
      <c r="X38" s="6" t="str">
        <f t="shared" si="1"/>
        <v>Sim</v>
      </c>
    </row>
    <row r="39" spans="1:24" ht="15" customHeight="1" x14ac:dyDescent="0.3">
      <c r="A39" s="1" t="s">
        <v>158</v>
      </c>
      <c r="B39" s="1" t="s">
        <v>25</v>
      </c>
      <c r="C39" s="1" t="s">
        <v>40</v>
      </c>
      <c r="D39" s="1" t="s">
        <v>5</v>
      </c>
      <c r="E39" s="3">
        <v>46186.679166666698</v>
      </c>
      <c r="F39" s="3">
        <v>46193.708333333299</v>
      </c>
      <c r="G39" s="3">
        <v>46193.708333333299</v>
      </c>
      <c r="H39" s="1" t="s">
        <v>42</v>
      </c>
      <c r="I39" s="1" t="s">
        <v>163</v>
      </c>
      <c r="J39" s="1" t="s">
        <v>164</v>
      </c>
      <c r="K39" s="1" t="s">
        <v>30</v>
      </c>
      <c r="L39" s="1" t="s">
        <v>31</v>
      </c>
      <c r="M39" s="1" t="s">
        <v>143</v>
      </c>
      <c r="N39" s="4">
        <v>36</v>
      </c>
      <c r="O39" s="1" t="s">
        <v>46</v>
      </c>
      <c r="Q39" s="1" t="s">
        <v>145</v>
      </c>
      <c r="R39" s="1" t="s">
        <v>36</v>
      </c>
      <c r="S39" s="5">
        <v>1380</v>
      </c>
      <c r="T39" s="1" t="s">
        <v>146</v>
      </c>
      <c r="U39" s="1" t="s">
        <v>38</v>
      </c>
      <c r="V39" s="3">
        <v>46186.695138888899</v>
      </c>
      <c r="W39" s="6">
        <f t="shared" si="0"/>
        <v>1</v>
      </c>
      <c r="X39" s="6" t="str">
        <f t="shared" si="1"/>
        <v>Não</v>
      </c>
    </row>
    <row r="40" spans="1:24" ht="15" customHeight="1" x14ac:dyDescent="0.3">
      <c r="A40" s="1" t="s">
        <v>165</v>
      </c>
      <c r="B40" s="1" t="s">
        <v>25</v>
      </c>
      <c r="C40" s="1" t="s">
        <v>40</v>
      </c>
      <c r="D40" s="1" t="s">
        <v>5</v>
      </c>
      <c r="E40" s="3">
        <v>46186.556250000001</v>
      </c>
      <c r="F40" s="3">
        <v>46193.708333333299</v>
      </c>
      <c r="G40" s="3">
        <v>46193.708333333299</v>
      </c>
      <c r="H40" s="1" t="s">
        <v>42</v>
      </c>
      <c r="I40" s="1" t="s">
        <v>166</v>
      </c>
      <c r="J40" s="1" t="s">
        <v>167</v>
      </c>
      <c r="K40" s="1" t="s">
        <v>30</v>
      </c>
      <c r="L40" s="1" t="s">
        <v>31</v>
      </c>
      <c r="M40" s="1" t="s">
        <v>143</v>
      </c>
      <c r="N40" s="4">
        <v>36</v>
      </c>
      <c r="O40" s="1" t="s">
        <v>46</v>
      </c>
      <c r="P40" s="1" t="s">
        <v>168</v>
      </c>
      <c r="Q40" s="1" t="s">
        <v>145</v>
      </c>
      <c r="R40" s="1" t="s">
        <v>36</v>
      </c>
      <c r="S40" s="5">
        <v>12000</v>
      </c>
      <c r="T40" s="1" t="s">
        <v>146</v>
      </c>
      <c r="U40" s="1" t="s">
        <v>38</v>
      </c>
      <c r="V40" s="3">
        <v>46186.695138888899</v>
      </c>
      <c r="W40" s="6">
        <f t="shared" si="0"/>
        <v>1</v>
      </c>
      <c r="X40" s="6" t="str">
        <f t="shared" si="1"/>
        <v>Não</v>
      </c>
    </row>
    <row r="41" spans="1:24" ht="15" customHeight="1" x14ac:dyDescent="0.3">
      <c r="A41" s="1" t="s">
        <v>169</v>
      </c>
      <c r="B41" s="1" t="s">
        <v>25</v>
      </c>
      <c r="C41" s="1" t="s">
        <v>40</v>
      </c>
      <c r="D41" s="1" t="s">
        <v>5</v>
      </c>
      <c r="E41" s="3">
        <v>46186.496527777803</v>
      </c>
      <c r="F41" s="3">
        <v>46193.708333333299</v>
      </c>
      <c r="G41" s="3">
        <v>46193.708333333299</v>
      </c>
      <c r="H41" s="1" t="s">
        <v>42</v>
      </c>
      <c r="I41" s="1" t="s">
        <v>170</v>
      </c>
      <c r="J41" s="1" t="s">
        <v>171</v>
      </c>
      <c r="K41" s="1" t="s">
        <v>30</v>
      </c>
      <c r="L41" s="1" t="s">
        <v>31</v>
      </c>
      <c r="M41" s="1" t="s">
        <v>143</v>
      </c>
      <c r="N41" s="4">
        <v>36</v>
      </c>
      <c r="O41" s="1" t="s">
        <v>46</v>
      </c>
      <c r="P41" s="1" t="s">
        <v>172</v>
      </c>
      <c r="Q41" s="1" t="s">
        <v>145</v>
      </c>
      <c r="R41" s="1" t="s">
        <v>36</v>
      </c>
      <c r="S41" s="5">
        <v>17160</v>
      </c>
      <c r="T41" s="1" t="s">
        <v>146</v>
      </c>
      <c r="U41" s="1" t="s">
        <v>38</v>
      </c>
      <c r="V41" s="3">
        <v>46186.695138888899</v>
      </c>
      <c r="W41" s="6">
        <f t="shared" si="0"/>
        <v>1</v>
      </c>
      <c r="X41" s="6" t="str">
        <f t="shared" si="1"/>
        <v>Não</v>
      </c>
    </row>
    <row r="42" spans="1:24" ht="15" customHeight="1" x14ac:dyDescent="0.3">
      <c r="A42" s="1" t="s">
        <v>173</v>
      </c>
      <c r="B42" s="1" t="s">
        <v>25</v>
      </c>
      <c r="C42" s="1" t="s">
        <v>40</v>
      </c>
      <c r="D42" s="1" t="s">
        <v>5</v>
      </c>
      <c r="E42" s="3">
        <v>46186.469444444498</v>
      </c>
      <c r="F42" s="3">
        <v>46193.708333333299</v>
      </c>
      <c r="G42" s="3">
        <v>46193.708333333299</v>
      </c>
      <c r="H42" s="1" t="s">
        <v>42</v>
      </c>
      <c r="I42" s="1" t="s">
        <v>174</v>
      </c>
      <c r="J42" s="1" t="s">
        <v>175</v>
      </c>
      <c r="K42" s="1" t="s">
        <v>30</v>
      </c>
      <c r="L42" s="1" t="s">
        <v>31</v>
      </c>
      <c r="M42" s="1" t="s">
        <v>143</v>
      </c>
      <c r="N42" s="4">
        <v>36</v>
      </c>
      <c r="O42" s="1" t="s">
        <v>46</v>
      </c>
      <c r="P42" s="1" t="s">
        <v>176</v>
      </c>
      <c r="Q42" s="1" t="s">
        <v>145</v>
      </c>
      <c r="R42" s="1" t="s">
        <v>36</v>
      </c>
      <c r="S42" s="5">
        <v>19500</v>
      </c>
      <c r="T42" s="1" t="s">
        <v>146</v>
      </c>
      <c r="U42" s="1" t="s">
        <v>120</v>
      </c>
      <c r="V42" s="3">
        <v>46186.695138888899</v>
      </c>
      <c r="W42" s="6">
        <f t="shared" si="0"/>
        <v>1</v>
      </c>
      <c r="X42" s="6" t="str">
        <f t="shared" si="1"/>
        <v>Não</v>
      </c>
    </row>
    <row r="43" spans="1:24" ht="15" customHeight="1" x14ac:dyDescent="0.3">
      <c r="A43" s="1" t="s">
        <v>160</v>
      </c>
      <c r="B43" s="1" t="s">
        <v>25</v>
      </c>
      <c r="C43" s="1" t="s">
        <v>40</v>
      </c>
      <c r="D43" s="1" t="s">
        <v>5</v>
      </c>
      <c r="E43" s="3">
        <v>46186.609027777798</v>
      </c>
      <c r="F43" s="3">
        <v>46193.708333333299</v>
      </c>
      <c r="G43" s="3">
        <v>46193.708333333299</v>
      </c>
      <c r="H43" s="1" t="s">
        <v>42</v>
      </c>
      <c r="I43" s="1" t="s">
        <v>177</v>
      </c>
      <c r="J43" s="1" t="s">
        <v>178</v>
      </c>
      <c r="K43" s="1" t="s">
        <v>30</v>
      </c>
      <c r="L43" s="1" t="s">
        <v>31</v>
      </c>
      <c r="M43" s="1" t="s">
        <v>143</v>
      </c>
      <c r="N43" s="4">
        <v>36</v>
      </c>
      <c r="O43" s="1" t="s">
        <v>46</v>
      </c>
      <c r="P43" s="1" t="s">
        <v>47</v>
      </c>
      <c r="Q43" s="1" t="s">
        <v>145</v>
      </c>
      <c r="R43" s="1" t="s">
        <v>36</v>
      </c>
      <c r="S43" s="5">
        <v>7440</v>
      </c>
      <c r="T43" s="1" t="s">
        <v>146</v>
      </c>
      <c r="U43" s="1" t="s">
        <v>38</v>
      </c>
      <c r="V43" s="3">
        <v>46186.695138888899</v>
      </c>
      <c r="W43" s="6">
        <f t="shared" si="0"/>
        <v>1</v>
      </c>
      <c r="X43" s="6" t="str">
        <f t="shared" si="1"/>
        <v>Não</v>
      </c>
    </row>
    <row r="44" spans="1:24" ht="15" customHeight="1" x14ac:dyDescent="0.3">
      <c r="A44" s="1" t="s">
        <v>179</v>
      </c>
      <c r="B44" s="1" t="s">
        <v>25</v>
      </c>
      <c r="C44" s="1" t="s">
        <v>40</v>
      </c>
      <c r="D44" s="1" t="s">
        <v>5</v>
      </c>
      <c r="E44" s="3">
        <v>46186.645833333299</v>
      </c>
      <c r="F44" s="3">
        <v>46193.708333333299</v>
      </c>
      <c r="G44" s="3">
        <v>46193.708333333299</v>
      </c>
      <c r="H44" s="1" t="s">
        <v>42</v>
      </c>
      <c r="I44" s="1" t="s">
        <v>180</v>
      </c>
      <c r="J44" s="1" t="s">
        <v>181</v>
      </c>
      <c r="K44" s="1" t="s">
        <v>51</v>
      </c>
      <c r="L44" s="1" t="s">
        <v>31</v>
      </c>
      <c r="M44" s="1" t="s">
        <v>143</v>
      </c>
      <c r="N44" s="4">
        <v>36</v>
      </c>
      <c r="O44" s="1" t="s">
        <v>46</v>
      </c>
      <c r="Q44" s="1" t="s">
        <v>145</v>
      </c>
      <c r="R44" s="1" t="s">
        <v>36</v>
      </c>
      <c r="S44" s="5">
        <v>4260</v>
      </c>
      <c r="T44" s="1" t="s">
        <v>146</v>
      </c>
      <c r="U44" s="1" t="s">
        <v>38</v>
      </c>
      <c r="V44" s="3">
        <v>46186.695138888899</v>
      </c>
      <c r="W44" s="6">
        <f t="shared" si="0"/>
        <v>1</v>
      </c>
      <c r="X44" s="6" t="str">
        <f t="shared" si="1"/>
        <v>Não</v>
      </c>
    </row>
    <row r="45" spans="1:24" ht="15" customHeight="1" x14ac:dyDescent="0.3">
      <c r="A45" s="1" t="s">
        <v>155</v>
      </c>
      <c r="B45" s="1" t="s">
        <v>25</v>
      </c>
      <c r="C45" s="1" t="s">
        <v>40</v>
      </c>
      <c r="D45" s="1" t="s">
        <v>5</v>
      </c>
      <c r="E45" s="3">
        <v>46186.670833333301</v>
      </c>
      <c r="F45" s="3">
        <v>46193.708333333299</v>
      </c>
      <c r="G45" s="3">
        <v>46193.708333333299</v>
      </c>
      <c r="H45" s="1" t="s">
        <v>42</v>
      </c>
      <c r="I45" s="1" t="s">
        <v>182</v>
      </c>
      <c r="J45" s="1" t="s">
        <v>183</v>
      </c>
      <c r="K45" s="1" t="s">
        <v>30</v>
      </c>
      <c r="L45" s="1" t="s">
        <v>31</v>
      </c>
      <c r="M45" s="1" t="s">
        <v>143</v>
      </c>
      <c r="N45" s="4">
        <v>36</v>
      </c>
      <c r="O45" s="1" t="s">
        <v>46</v>
      </c>
      <c r="Q45" s="1" t="s">
        <v>145</v>
      </c>
      <c r="R45" s="1" t="s">
        <v>36</v>
      </c>
      <c r="S45" s="5">
        <v>2100</v>
      </c>
      <c r="T45" s="1" t="s">
        <v>146</v>
      </c>
      <c r="U45" s="1" t="s">
        <v>38</v>
      </c>
      <c r="V45" s="3">
        <v>46186.695138888899</v>
      </c>
      <c r="W45" s="6">
        <f t="shared" si="0"/>
        <v>1</v>
      </c>
      <c r="X45" s="6" t="str">
        <f t="shared" si="1"/>
        <v>Não</v>
      </c>
    </row>
    <row r="46" spans="1:24" ht="15" customHeight="1" x14ac:dyDescent="0.3">
      <c r="A46" s="1" t="s">
        <v>184</v>
      </c>
      <c r="B46" s="1" t="s">
        <v>25</v>
      </c>
      <c r="C46" s="1" t="s">
        <v>40</v>
      </c>
      <c r="D46" s="1" t="s">
        <v>5</v>
      </c>
      <c r="E46" s="3">
        <v>46186.671527777798</v>
      </c>
      <c r="F46" s="3">
        <v>46193.708333333299</v>
      </c>
      <c r="G46" s="3">
        <v>46193.708333333299</v>
      </c>
      <c r="H46" s="1" t="s">
        <v>42</v>
      </c>
      <c r="I46" s="1" t="s">
        <v>185</v>
      </c>
      <c r="J46" s="1" t="s">
        <v>186</v>
      </c>
      <c r="K46" s="1" t="s">
        <v>30</v>
      </c>
      <c r="L46" s="1" t="s">
        <v>31</v>
      </c>
      <c r="M46" s="1" t="s">
        <v>143</v>
      </c>
      <c r="N46" s="4">
        <v>36</v>
      </c>
      <c r="O46" s="1" t="s">
        <v>46</v>
      </c>
      <c r="Q46" s="1" t="s">
        <v>145</v>
      </c>
      <c r="R46" s="1" t="s">
        <v>36</v>
      </c>
      <c r="S46" s="5">
        <v>2040</v>
      </c>
      <c r="T46" s="1" t="s">
        <v>146</v>
      </c>
      <c r="U46" s="1" t="s">
        <v>38</v>
      </c>
      <c r="V46" s="3">
        <v>46186.695138888899</v>
      </c>
      <c r="W46" s="6">
        <f t="shared" si="0"/>
        <v>1</v>
      </c>
      <c r="X46" s="6" t="str">
        <f t="shared" si="1"/>
        <v>Não</v>
      </c>
    </row>
    <row r="47" spans="1:24" ht="15" customHeight="1" x14ac:dyDescent="0.3">
      <c r="A47" s="1" t="s">
        <v>187</v>
      </c>
      <c r="B47" s="1" t="s">
        <v>25</v>
      </c>
      <c r="C47" s="1" t="s">
        <v>40</v>
      </c>
      <c r="D47" s="1" t="s">
        <v>5</v>
      </c>
      <c r="E47" s="3">
        <v>46186.512499999997</v>
      </c>
      <c r="F47" s="3">
        <v>46193.708333333299</v>
      </c>
      <c r="G47" s="3">
        <v>46193.708333333299</v>
      </c>
      <c r="H47" s="1" t="s">
        <v>42</v>
      </c>
      <c r="I47" s="1" t="s">
        <v>188</v>
      </c>
      <c r="J47" s="1" t="s">
        <v>189</v>
      </c>
      <c r="K47" s="1" t="s">
        <v>51</v>
      </c>
      <c r="L47" s="1" t="s">
        <v>31</v>
      </c>
      <c r="M47" s="1" t="s">
        <v>143</v>
      </c>
      <c r="N47" s="4">
        <v>36</v>
      </c>
      <c r="O47" s="1" t="s">
        <v>46</v>
      </c>
      <c r="P47" s="1" t="s">
        <v>190</v>
      </c>
      <c r="Q47" s="1" t="s">
        <v>145</v>
      </c>
      <c r="R47" s="1" t="s">
        <v>36</v>
      </c>
      <c r="S47" s="5">
        <v>15780</v>
      </c>
      <c r="T47" s="1" t="s">
        <v>146</v>
      </c>
      <c r="U47" s="1" t="s">
        <v>38</v>
      </c>
      <c r="V47" s="3">
        <v>46186.695138888899</v>
      </c>
      <c r="W47" s="6">
        <f t="shared" si="0"/>
        <v>1</v>
      </c>
      <c r="X47" s="6" t="str">
        <f t="shared" si="1"/>
        <v>Não</v>
      </c>
    </row>
    <row r="48" spans="1:24" ht="15" customHeight="1" x14ac:dyDescent="0.3">
      <c r="A48" s="1" t="s">
        <v>191</v>
      </c>
      <c r="B48" s="1" t="s">
        <v>25</v>
      </c>
      <c r="C48" s="1" t="s">
        <v>40</v>
      </c>
      <c r="D48" s="1" t="s">
        <v>5</v>
      </c>
      <c r="E48" s="3">
        <v>46186.4819444444</v>
      </c>
      <c r="F48" s="3">
        <v>46193.708333333299</v>
      </c>
      <c r="G48" s="3">
        <v>46193.708333333299</v>
      </c>
      <c r="H48" s="1" t="s">
        <v>42</v>
      </c>
      <c r="I48" s="1" t="s">
        <v>192</v>
      </c>
      <c r="J48" s="1" t="s">
        <v>193</v>
      </c>
      <c r="K48" s="1" t="s">
        <v>51</v>
      </c>
      <c r="L48" s="1" t="s">
        <v>31</v>
      </c>
      <c r="M48" s="1" t="s">
        <v>143</v>
      </c>
      <c r="N48" s="4">
        <v>36</v>
      </c>
      <c r="O48" s="1" t="s">
        <v>46</v>
      </c>
      <c r="P48" s="1" t="s">
        <v>194</v>
      </c>
      <c r="Q48" s="1" t="s">
        <v>145</v>
      </c>
      <c r="R48" s="1" t="s">
        <v>36</v>
      </c>
      <c r="S48" s="5">
        <v>18420</v>
      </c>
      <c r="T48" s="1" t="s">
        <v>146</v>
      </c>
      <c r="U48" s="1" t="s">
        <v>120</v>
      </c>
      <c r="V48" s="3">
        <v>46186.695138888899</v>
      </c>
      <c r="W48" s="6">
        <f t="shared" si="0"/>
        <v>1</v>
      </c>
      <c r="X48" s="6" t="str">
        <f t="shared" si="1"/>
        <v>Não</v>
      </c>
    </row>
    <row r="49" spans="1:24" ht="15" customHeight="1" x14ac:dyDescent="0.3">
      <c r="A49" s="1" t="s">
        <v>195</v>
      </c>
      <c r="B49" s="1" t="s">
        <v>25</v>
      </c>
      <c r="C49" s="1" t="s">
        <v>40</v>
      </c>
      <c r="D49" s="1" t="s">
        <v>5</v>
      </c>
      <c r="E49" s="3">
        <v>46254.590972222199</v>
      </c>
      <c r="F49" s="3">
        <v>46262.375</v>
      </c>
      <c r="G49" s="3">
        <v>46262.375</v>
      </c>
      <c r="H49" s="1" t="s">
        <v>42</v>
      </c>
      <c r="I49" s="1" t="s">
        <v>196</v>
      </c>
      <c r="J49" s="1" t="s">
        <v>123</v>
      </c>
      <c r="K49" s="1" t="s">
        <v>51</v>
      </c>
      <c r="L49" s="1" t="s">
        <v>31</v>
      </c>
      <c r="M49" s="1" t="s">
        <v>62</v>
      </c>
      <c r="N49" s="4">
        <v>36</v>
      </c>
      <c r="O49" s="1" t="s">
        <v>46</v>
      </c>
      <c r="P49" s="1" t="s">
        <v>47</v>
      </c>
      <c r="Q49" s="1" t="s">
        <v>35</v>
      </c>
      <c r="R49" s="1" t="s">
        <v>36</v>
      </c>
      <c r="S49" s="5">
        <v>67080</v>
      </c>
      <c r="T49" s="1" t="s">
        <v>197</v>
      </c>
      <c r="U49" s="1" t="s">
        <v>38</v>
      </c>
      <c r="V49" s="3">
        <v>46255.367361111101</v>
      </c>
      <c r="W49" s="6">
        <f t="shared" si="0"/>
        <v>7</v>
      </c>
      <c r="X49" s="6" t="str">
        <f t="shared" si="1"/>
        <v>Sim</v>
      </c>
    </row>
    <row r="50" spans="1:24" ht="15" customHeight="1" x14ac:dyDescent="0.3">
      <c r="A50" s="1" t="s">
        <v>198</v>
      </c>
      <c r="B50" s="1" t="s">
        <v>25</v>
      </c>
      <c r="C50" s="1" t="s">
        <v>40</v>
      </c>
      <c r="D50" s="1" t="s">
        <v>5</v>
      </c>
      <c r="E50" s="3">
        <v>46258.703472222202</v>
      </c>
      <c r="F50" s="3">
        <v>46269.375</v>
      </c>
      <c r="G50" s="3">
        <v>46269.375</v>
      </c>
      <c r="H50" s="1" t="s">
        <v>42</v>
      </c>
      <c r="I50" s="1" t="s">
        <v>199</v>
      </c>
      <c r="J50" s="1" t="s">
        <v>123</v>
      </c>
      <c r="K50" s="1" t="s">
        <v>30</v>
      </c>
      <c r="L50" s="1" t="s">
        <v>31</v>
      </c>
      <c r="M50" s="1" t="s">
        <v>62</v>
      </c>
      <c r="N50" s="4">
        <v>36</v>
      </c>
      <c r="O50" s="1" t="s">
        <v>46</v>
      </c>
      <c r="P50" s="1" t="s">
        <v>47</v>
      </c>
      <c r="Q50" s="1" t="s">
        <v>35</v>
      </c>
      <c r="R50" s="1" t="s">
        <v>36</v>
      </c>
      <c r="S50" s="5">
        <v>316200</v>
      </c>
      <c r="T50" s="1" t="s">
        <v>200</v>
      </c>
      <c r="U50" s="1" t="s">
        <v>38</v>
      </c>
      <c r="V50" s="3">
        <v>46262.363194444399</v>
      </c>
      <c r="W50" s="6">
        <f t="shared" si="0"/>
        <v>7</v>
      </c>
      <c r="X50" s="6" t="str">
        <f t="shared" si="1"/>
        <v>Sim</v>
      </c>
    </row>
    <row r="51" spans="1:24" ht="15" customHeight="1" x14ac:dyDescent="0.3">
      <c r="A51" s="1" t="s">
        <v>201</v>
      </c>
      <c r="B51" s="1" t="s">
        <v>25</v>
      </c>
      <c r="C51" s="1" t="s">
        <v>40</v>
      </c>
      <c r="D51" s="1" t="s">
        <v>5</v>
      </c>
      <c r="E51" s="3">
        <v>46258.641666666699</v>
      </c>
      <c r="F51" s="3">
        <v>46269.375</v>
      </c>
      <c r="G51" s="3">
        <v>46269.375</v>
      </c>
      <c r="H51" s="1" t="s">
        <v>42</v>
      </c>
      <c r="I51" s="1" t="s">
        <v>202</v>
      </c>
      <c r="J51" s="1" t="s">
        <v>59</v>
      </c>
      <c r="K51" s="1" t="s">
        <v>30</v>
      </c>
      <c r="L51" s="1" t="s">
        <v>31</v>
      </c>
      <c r="M51" s="1" t="s">
        <v>62</v>
      </c>
      <c r="N51" s="4">
        <v>36</v>
      </c>
      <c r="O51" s="1" t="s">
        <v>46</v>
      </c>
      <c r="P51" s="1" t="s">
        <v>47</v>
      </c>
      <c r="Q51" s="1" t="s">
        <v>35</v>
      </c>
      <c r="R51" s="1" t="s">
        <v>36</v>
      </c>
      <c r="S51" s="5">
        <v>321720</v>
      </c>
      <c r="T51" s="1" t="s">
        <v>203</v>
      </c>
      <c r="U51" s="1" t="s">
        <v>38</v>
      </c>
      <c r="V51" s="3">
        <v>46262.365277777797</v>
      </c>
      <c r="W51" s="6">
        <f t="shared" si="0"/>
        <v>26</v>
      </c>
      <c r="X51" s="6" t="str">
        <f t="shared" si="1"/>
        <v>Sim</v>
      </c>
    </row>
    <row r="52" spans="1:24" ht="15" customHeight="1" x14ac:dyDescent="0.3">
      <c r="A52" s="1" t="s">
        <v>204</v>
      </c>
      <c r="B52" s="1" t="s">
        <v>25</v>
      </c>
      <c r="C52" s="1" t="s">
        <v>40</v>
      </c>
      <c r="D52" s="1" t="s">
        <v>5</v>
      </c>
      <c r="E52" s="3">
        <v>46258.347222222197</v>
      </c>
      <c r="F52" s="3">
        <v>46265.708333333299</v>
      </c>
      <c r="G52" s="3">
        <v>46265.708333333299</v>
      </c>
      <c r="H52" s="1" t="s">
        <v>42</v>
      </c>
      <c r="I52" s="1" t="s">
        <v>205</v>
      </c>
      <c r="J52" s="1" t="s">
        <v>66</v>
      </c>
      <c r="K52" s="1" t="s">
        <v>30</v>
      </c>
      <c r="L52" s="1" t="s">
        <v>31</v>
      </c>
      <c r="M52" s="1" t="s">
        <v>32</v>
      </c>
      <c r="N52" s="4">
        <v>36</v>
      </c>
      <c r="O52" s="1" t="s">
        <v>46</v>
      </c>
      <c r="P52" s="1" t="s">
        <v>67</v>
      </c>
      <c r="Q52" s="1" t="s">
        <v>68</v>
      </c>
      <c r="R52" s="1" t="s">
        <v>36</v>
      </c>
      <c r="S52" s="5">
        <v>28560</v>
      </c>
      <c r="T52" s="1" t="s">
        <v>69</v>
      </c>
      <c r="U52" s="1" t="s">
        <v>38</v>
      </c>
      <c r="V52" s="3">
        <v>46258.677777777797</v>
      </c>
      <c r="W52" s="6">
        <f t="shared" si="0"/>
        <v>7</v>
      </c>
      <c r="X52" s="6" t="str">
        <f t="shared" si="1"/>
        <v>Sim</v>
      </c>
    </row>
    <row r="53" spans="1:24" ht="15" customHeight="1" x14ac:dyDescent="0.3">
      <c r="A53" s="1" t="s">
        <v>206</v>
      </c>
      <c r="B53" s="1" t="s">
        <v>25</v>
      </c>
      <c r="C53" s="1" t="s">
        <v>40</v>
      </c>
      <c r="D53" s="1" t="s">
        <v>5</v>
      </c>
      <c r="E53" s="3">
        <v>46241.471527777801</v>
      </c>
      <c r="F53" s="3">
        <v>46252.375</v>
      </c>
      <c r="G53" s="3">
        <v>46252.375</v>
      </c>
      <c r="H53" s="1" t="s">
        <v>42</v>
      </c>
      <c r="I53" s="1" t="s">
        <v>207</v>
      </c>
      <c r="J53" s="1" t="s">
        <v>44</v>
      </c>
      <c r="K53" s="1" t="s">
        <v>30</v>
      </c>
      <c r="L53" s="1" t="s">
        <v>31</v>
      </c>
      <c r="M53" s="1" t="s">
        <v>62</v>
      </c>
      <c r="N53" s="4">
        <v>36</v>
      </c>
      <c r="O53" s="1" t="s">
        <v>46</v>
      </c>
      <c r="P53" s="1" t="s">
        <v>47</v>
      </c>
      <c r="Q53" s="1" t="s">
        <v>35</v>
      </c>
      <c r="R53" s="1" t="s">
        <v>36</v>
      </c>
      <c r="S53" s="5">
        <v>335220</v>
      </c>
      <c r="T53" s="1" t="s">
        <v>208</v>
      </c>
      <c r="U53" s="1" t="s">
        <v>38</v>
      </c>
      <c r="V53" s="3">
        <v>46245.351388888899</v>
      </c>
      <c r="W53" s="6">
        <f t="shared" si="0"/>
        <v>9</v>
      </c>
      <c r="X53" s="6" t="str">
        <f t="shared" si="1"/>
        <v>Sim</v>
      </c>
    </row>
    <row r="54" spans="1:24" ht="15" customHeight="1" x14ac:dyDescent="0.3">
      <c r="A54" s="1" t="s">
        <v>209</v>
      </c>
      <c r="B54" s="1" t="s">
        <v>25</v>
      </c>
      <c r="C54" s="1" t="s">
        <v>40</v>
      </c>
      <c r="D54" s="1" t="s">
        <v>5</v>
      </c>
      <c r="E54" s="3">
        <v>46241.538194444503</v>
      </c>
      <c r="F54" s="3">
        <v>46252.375</v>
      </c>
      <c r="G54" s="3">
        <v>46252.375</v>
      </c>
      <c r="H54" s="1" t="s">
        <v>42</v>
      </c>
      <c r="I54" s="1" t="s">
        <v>210</v>
      </c>
      <c r="J54" s="1" t="s">
        <v>59</v>
      </c>
      <c r="K54" s="1" t="s">
        <v>30</v>
      </c>
      <c r="L54" s="1" t="s">
        <v>31</v>
      </c>
      <c r="M54" s="1" t="s">
        <v>62</v>
      </c>
      <c r="N54" s="4">
        <v>36</v>
      </c>
      <c r="O54" s="1" t="s">
        <v>46</v>
      </c>
      <c r="P54" s="1" t="s">
        <v>47</v>
      </c>
      <c r="Q54" s="1" t="s">
        <v>35</v>
      </c>
      <c r="R54" s="1" t="s">
        <v>36</v>
      </c>
      <c r="S54" s="5">
        <v>329400</v>
      </c>
      <c r="T54" s="1" t="s">
        <v>211</v>
      </c>
      <c r="U54" s="1" t="s">
        <v>38</v>
      </c>
      <c r="V54" s="3">
        <v>46245.350694444503</v>
      </c>
      <c r="W54" s="6">
        <f t="shared" si="0"/>
        <v>26</v>
      </c>
      <c r="X54" s="6" t="str">
        <f t="shared" si="1"/>
        <v>Sim</v>
      </c>
    </row>
    <row r="55" spans="1:24" ht="15" customHeight="1" x14ac:dyDescent="0.3">
      <c r="A55" s="1" t="s">
        <v>212</v>
      </c>
      <c r="B55" s="1" t="s">
        <v>25</v>
      </c>
      <c r="C55" s="1" t="s">
        <v>40</v>
      </c>
      <c r="D55" s="1" t="s">
        <v>5</v>
      </c>
      <c r="E55" s="3">
        <v>46254.657638888901</v>
      </c>
      <c r="F55" s="3">
        <v>46267.833333333299</v>
      </c>
      <c r="G55" s="3">
        <v>46267.833333333299</v>
      </c>
      <c r="H55" s="1" t="s">
        <v>42</v>
      </c>
      <c r="I55" s="1" t="s">
        <v>213</v>
      </c>
      <c r="J55" s="1" t="s">
        <v>214</v>
      </c>
      <c r="K55" s="1" t="s">
        <v>30</v>
      </c>
      <c r="L55" s="1" t="s">
        <v>31</v>
      </c>
      <c r="M55" s="1" t="s">
        <v>62</v>
      </c>
      <c r="N55" s="4">
        <v>36</v>
      </c>
      <c r="O55" s="1" t="s">
        <v>46</v>
      </c>
      <c r="P55" s="1" t="s">
        <v>47</v>
      </c>
      <c r="Q55" s="1" t="s">
        <v>35</v>
      </c>
      <c r="R55" s="1" t="s">
        <v>36</v>
      </c>
      <c r="S55" s="5">
        <v>530760</v>
      </c>
      <c r="T55" s="1" t="s">
        <v>215</v>
      </c>
      <c r="U55" s="1" t="s">
        <v>38</v>
      </c>
      <c r="V55" s="3">
        <v>46260.800694444399</v>
      </c>
      <c r="W55" s="6">
        <f t="shared" si="0"/>
        <v>3</v>
      </c>
      <c r="X55" s="6" t="str">
        <f t="shared" si="1"/>
        <v>Sim</v>
      </c>
    </row>
    <row r="56" spans="1:24" ht="15" customHeight="1" x14ac:dyDescent="0.3">
      <c r="A56" s="1" t="s">
        <v>216</v>
      </c>
      <c r="B56" s="1" t="s">
        <v>25</v>
      </c>
      <c r="C56" s="1" t="s">
        <v>40</v>
      </c>
      <c r="D56" s="1" t="s">
        <v>5</v>
      </c>
      <c r="E56" s="3">
        <v>46251.402777777803</v>
      </c>
      <c r="F56" s="3">
        <v>46267.833333333299</v>
      </c>
      <c r="G56" s="3">
        <v>46267.833333333299</v>
      </c>
      <c r="H56" s="1" t="s">
        <v>42</v>
      </c>
      <c r="I56" s="1" t="s">
        <v>217</v>
      </c>
      <c r="J56" s="1" t="s">
        <v>54</v>
      </c>
      <c r="K56" s="1" t="s">
        <v>30</v>
      </c>
      <c r="L56" s="1" t="s">
        <v>31</v>
      </c>
      <c r="M56" s="1" t="s">
        <v>62</v>
      </c>
      <c r="N56" s="4">
        <v>36</v>
      </c>
      <c r="O56" s="1" t="s">
        <v>46</v>
      </c>
      <c r="P56" s="1" t="s">
        <v>47</v>
      </c>
      <c r="Q56" s="1" t="s">
        <v>35</v>
      </c>
      <c r="R56" s="1" t="s">
        <v>36</v>
      </c>
      <c r="S56" s="5">
        <v>812340</v>
      </c>
      <c r="T56" s="1" t="s">
        <v>218</v>
      </c>
      <c r="U56" s="1" t="s">
        <v>38</v>
      </c>
      <c r="V56" s="3">
        <v>46260.804861111101</v>
      </c>
      <c r="W56" s="6">
        <f t="shared" si="0"/>
        <v>10</v>
      </c>
      <c r="X56" s="6" t="str">
        <f t="shared" si="1"/>
        <v>Sim</v>
      </c>
    </row>
    <row r="57" spans="1:24" ht="15" customHeight="1" x14ac:dyDescent="0.3">
      <c r="A57" s="1" t="s">
        <v>219</v>
      </c>
      <c r="B57" s="1" t="s">
        <v>25</v>
      </c>
      <c r="C57" s="1" t="s">
        <v>40</v>
      </c>
      <c r="D57" s="1" t="s">
        <v>5</v>
      </c>
      <c r="E57" s="3">
        <v>46255.431944444397</v>
      </c>
      <c r="F57" s="3">
        <v>46265.416666666701</v>
      </c>
      <c r="G57" s="3">
        <v>46265.416666666701</v>
      </c>
      <c r="H57" s="1" t="s">
        <v>42</v>
      </c>
      <c r="I57" s="1" t="s">
        <v>220</v>
      </c>
      <c r="J57" s="1" t="s">
        <v>221</v>
      </c>
      <c r="K57" s="1" t="s">
        <v>30</v>
      </c>
      <c r="L57" s="1" t="s">
        <v>31</v>
      </c>
      <c r="M57" s="1" t="s">
        <v>62</v>
      </c>
      <c r="N57" s="4">
        <v>36</v>
      </c>
      <c r="O57" s="1" t="s">
        <v>46</v>
      </c>
      <c r="P57" s="1" t="s">
        <v>47</v>
      </c>
      <c r="Q57" s="1" t="s">
        <v>35</v>
      </c>
      <c r="R57" s="1" t="s">
        <v>36</v>
      </c>
      <c r="S57" s="5">
        <v>255240</v>
      </c>
      <c r="T57" s="1" t="s">
        <v>222</v>
      </c>
      <c r="U57" s="1" t="s">
        <v>38</v>
      </c>
      <c r="V57" s="3">
        <v>46258.386111111096</v>
      </c>
      <c r="W57" s="6">
        <f t="shared" si="0"/>
        <v>1</v>
      </c>
      <c r="X57" s="6" t="str">
        <f t="shared" si="1"/>
        <v>Não</v>
      </c>
    </row>
    <row r="58" spans="1:24" ht="15" customHeight="1" x14ac:dyDescent="0.3">
      <c r="A58" s="1" t="s">
        <v>223</v>
      </c>
      <c r="B58" s="1" t="s">
        <v>25</v>
      </c>
      <c r="C58" s="1" t="s">
        <v>40</v>
      </c>
      <c r="D58" s="1" t="s">
        <v>5</v>
      </c>
      <c r="E58" s="3">
        <v>46192.482638888898</v>
      </c>
      <c r="F58" s="3">
        <v>46202.667361111096</v>
      </c>
      <c r="G58" s="3">
        <v>46202.667361111096</v>
      </c>
      <c r="H58" s="1" t="s">
        <v>42</v>
      </c>
      <c r="I58" s="1" t="s">
        <v>224</v>
      </c>
      <c r="J58" s="1" t="s">
        <v>59</v>
      </c>
      <c r="K58" s="1" t="s">
        <v>51</v>
      </c>
      <c r="L58" s="1" t="s">
        <v>31</v>
      </c>
      <c r="M58" s="1" t="s">
        <v>62</v>
      </c>
      <c r="N58" s="4">
        <v>36</v>
      </c>
      <c r="O58" s="1" t="s">
        <v>46</v>
      </c>
      <c r="P58" s="1" t="s">
        <v>47</v>
      </c>
      <c r="Q58" s="1" t="s">
        <v>145</v>
      </c>
      <c r="R58" s="1" t="s">
        <v>36</v>
      </c>
      <c r="S58" s="5">
        <v>274680</v>
      </c>
      <c r="T58" s="1" t="s">
        <v>225</v>
      </c>
      <c r="U58" s="1" t="s">
        <v>38</v>
      </c>
      <c r="V58" s="3">
        <v>46195.661805555603</v>
      </c>
      <c r="W58" s="6">
        <f t="shared" si="0"/>
        <v>26</v>
      </c>
      <c r="X58" s="6" t="str">
        <f t="shared" si="1"/>
        <v>Sim</v>
      </c>
    </row>
    <row r="59" spans="1:24" ht="15" customHeight="1" x14ac:dyDescent="0.3">
      <c r="A59" s="1" t="s">
        <v>226</v>
      </c>
      <c r="B59" s="1" t="s">
        <v>25</v>
      </c>
      <c r="C59" s="1" t="s">
        <v>40</v>
      </c>
      <c r="D59" s="1" t="s">
        <v>5</v>
      </c>
      <c r="E59" s="3">
        <v>46191.641666666699</v>
      </c>
      <c r="F59" s="3">
        <v>46202.667361111096</v>
      </c>
      <c r="G59" s="3">
        <v>46202.667361111096</v>
      </c>
      <c r="H59" s="1" t="s">
        <v>42</v>
      </c>
      <c r="I59" s="1" t="s">
        <v>227</v>
      </c>
      <c r="J59" s="1" t="s">
        <v>59</v>
      </c>
      <c r="K59" s="1" t="s">
        <v>51</v>
      </c>
      <c r="L59" s="1" t="s">
        <v>31</v>
      </c>
      <c r="M59" s="1" t="s">
        <v>62</v>
      </c>
      <c r="N59" s="4">
        <v>36</v>
      </c>
      <c r="O59" s="1" t="s">
        <v>46</v>
      </c>
      <c r="P59" s="1" t="s">
        <v>47</v>
      </c>
      <c r="Q59" s="1" t="s">
        <v>35</v>
      </c>
      <c r="R59" s="1" t="s">
        <v>36</v>
      </c>
      <c r="S59" s="5">
        <v>347460</v>
      </c>
      <c r="T59" s="1" t="s">
        <v>228</v>
      </c>
      <c r="U59" s="1" t="s">
        <v>38</v>
      </c>
      <c r="V59" s="3">
        <v>46195.663194444503</v>
      </c>
      <c r="W59" s="6">
        <f t="shared" si="0"/>
        <v>26</v>
      </c>
      <c r="X59" s="6" t="str">
        <f t="shared" si="1"/>
        <v>Sim</v>
      </c>
    </row>
    <row r="60" spans="1:24" ht="15" customHeight="1" x14ac:dyDescent="0.3">
      <c r="A60" s="1" t="s">
        <v>229</v>
      </c>
      <c r="B60" s="1" t="s">
        <v>25</v>
      </c>
      <c r="C60" s="1" t="s">
        <v>40</v>
      </c>
      <c r="D60" s="1" t="s">
        <v>5</v>
      </c>
      <c r="E60" s="3">
        <v>46192.551388888904</v>
      </c>
      <c r="F60" s="3">
        <v>46202.667361111096</v>
      </c>
      <c r="G60" s="3">
        <v>46202.667361111096</v>
      </c>
      <c r="H60" s="1" t="s">
        <v>42</v>
      </c>
      <c r="I60" s="1" t="s">
        <v>230</v>
      </c>
      <c r="J60" s="1" t="s">
        <v>59</v>
      </c>
      <c r="K60" s="1" t="s">
        <v>30</v>
      </c>
      <c r="L60" s="1" t="s">
        <v>31</v>
      </c>
      <c r="M60" s="1" t="s">
        <v>62</v>
      </c>
      <c r="N60" s="4">
        <v>36</v>
      </c>
      <c r="O60" s="1" t="s">
        <v>231</v>
      </c>
      <c r="P60" s="1" t="s">
        <v>47</v>
      </c>
      <c r="Q60" s="1" t="s">
        <v>35</v>
      </c>
      <c r="R60" s="1" t="s">
        <v>36</v>
      </c>
      <c r="S60" s="5">
        <v>268680</v>
      </c>
      <c r="T60" s="1" t="s">
        <v>232</v>
      </c>
      <c r="U60" s="1" t="s">
        <v>38</v>
      </c>
      <c r="V60" s="3">
        <v>46195.661111111098</v>
      </c>
      <c r="W60" s="6">
        <f t="shared" si="0"/>
        <v>26</v>
      </c>
      <c r="X60" s="6" t="str">
        <f t="shared" si="1"/>
        <v>Sim</v>
      </c>
    </row>
    <row r="61" spans="1:24" ht="15" customHeight="1" x14ac:dyDescent="0.3">
      <c r="A61" s="1" t="s">
        <v>233</v>
      </c>
      <c r="B61" s="1" t="s">
        <v>25</v>
      </c>
      <c r="C61" s="1" t="s">
        <v>40</v>
      </c>
      <c r="D61" s="1" t="s">
        <v>5</v>
      </c>
      <c r="E61" s="3">
        <v>46204.406944444498</v>
      </c>
      <c r="F61" s="3">
        <v>46211.75</v>
      </c>
      <c r="G61" s="3">
        <v>46211.75</v>
      </c>
      <c r="H61" s="1" t="s">
        <v>42</v>
      </c>
      <c r="I61" s="1" t="s">
        <v>234</v>
      </c>
      <c r="J61" s="1" t="s">
        <v>235</v>
      </c>
      <c r="K61" s="1" t="s">
        <v>30</v>
      </c>
      <c r="L61" s="1" t="s">
        <v>31</v>
      </c>
      <c r="M61" s="1" t="s">
        <v>62</v>
      </c>
      <c r="N61" s="4">
        <v>36</v>
      </c>
      <c r="O61" s="1" t="s">
        <v>87</v>
      </c>
      <c r="P61" s="1" t="s">
        <v>47</v>
      </c>
      <c r="Q61" s="1" t="s">
        <v>35</v>
      </c>
      <c r="R61" s="1" t="s">
        <v>36</v>
      </c>
      <c r="S61" s="5">
        <v>27480</v>
      </c>
      <c r="T61" s="1" t="s">
        <v>236</v>
      </c>
      <c r="U61" s="1" t="s">
        <v>38</v>
      </c>
      <c r="V61" s="3">
        <v>46204.724999999999</v>
      </c>
      <c r="W61" s="6">
        <f t="shared" si="0"/>
        <v>6</v>
      </c>
      <c r="X61" s="6" t="str">
        <f t="shared" si="1"/>
        <v>Sim</v>
      </c>
    </row>
    <row r="62" spans="1:24" ht="15" customHeight="1" x14ac:dyDescent="0.3">
      <c r="A62" s="1" t="s">
        <v>237</v>
      </c>
      <c r="B62" s="1" t="s">
        <v>25</v>
      </c>
      <c r="C62" s="1" t="s">
        <v>40</v>
      </c>
      <c r="D62" s="1" t="s">
        <v>5</v>
      </c>
      <c r="E62" s="3">
        <v>46176.438194444498</v>
      </c>
      <c r="F62" s="3">
        <v>46183.708333333299</v>
      </c>
      <c r="G62" s="3">
        <v>46183.708333333299</v>
      </c>
      <c r="H62" s="1" t="s">
        <v>42</v>
      </c>
      <c r="I62" s="1" t="s">
        <v>238</v>
      </c>
      <c r="J62" s="1" t="s">
        <v>239</v>
      </c>
      <c r="K62" s="1" t="s">
        <v>30</v>
      </c>
      <c r="L62" s="1" t="s">
        <v>31</v>
      </c>
      <c r="M62" s="1" t="s">
        <v>62</v>
      </c>
      <c r="N62" s="4">
        <v>36</v>
      </c>
      <c r="O62" s="1" t="s">
        <v>46</v>
      </c>
      <c r="P62" s="1" t="s">
        <v>47</v>
      </c>
      <c r="Q62" s="1" t="s">
        <v>145</v>
      </c>
      <c r="R62" s="1" t="s">
        <v>36</v>
      </c>
      <c r="S62" s="5">
        <v>20700</v>
      </c>
      <c r="T62" s="1" t="s">
        <v>240</v>
      </c>
      <c r="U62" s="1" t="s">
        <v>38</v>
      </c>
      <c r="V62" s="3">
        <v>46176.677777777797</v>
      </c>
      <c r="W62" s="6">
        <f t="shared" si="0"/>
        <v>2</v>
      </c>
      <c r="X62" s="6" t="str">
        <f t="shared" si="1"/>
        <v>Sim</v>
      </c>
    </row>
    <row r="63" spans="1:24" ht="15" customHeight="1" x14ac:dyDescent="0.3">
      <c r="A63" s="1" t="s">
        <v>241</v>
      </c>
      <c r="B63" s="1" t="s">
        <v>25</v>
      </c>
      <c r="C63" s="1" t="s">
        <v>40</v>
      </c>
      <c r="D63" s="1" t="s">
        <v>5</v>
      </c>
      <c r="E63" s="3">
        <v>46204.445833333302</v>
      </c>
      <c r="F63" s="3">
        <v>46211.750694444498</v>
      </c>
      <c r="G63" s="3">
        <v>46211.750694444498</v>
      </c>
      <c r="H63" s="1" t="s">
        <v>42</v>
      </c>
      <c r="I63" s="1" t="s">
        <v>242</v>
      </c>
      <c r="J63" s="1" t="s">
        <v>59</v>
      </c>
      <c r="K63" s="1" t="s">
        <v>51</v>
      </c>
      <c r="L63" s="1" t="s">
        <v>31</v>
      </c>
      <c r="M63" s="1" t="s">
        <v>62</v>
      </c>
      <c r="N63" s="4">
        <v>36</v>
      </c>
      <c r="O63" s="1" t="s">
        <v>33</v>
      </c>
      <c r="P63" s="1" t="s">
        <v>47</v>
      </c>
      <c r="Q63" s="1" t="s">
        <v>35</v>
      </c>
      <c r="R63" s="1" t="s">
        <v>36</v>
      </c>
      <c r="S63" s="5">
        <v>24060</v>
      </c>
      <c r="T63" s="1" t="s">
        <v>243</v>
      </c>
      <c r="U63" s="1" t="s">
        <v>38</v>
      </c>
      <c r="V63" s="3">
        <v>46204.724305555603</v>
      </c>
      <c r="W63" s="6">
        <f t="shared" si="0"/>
        <v>26</v>
      </c>
      <c r="X63" s="6" t="str">
        <f t="shared" si="1"/>
        <v>Sim</v>
      </c>
    </row>
    <row r="64" spans="1:24" ht="15" customHeight="1" x14ac:dyDescent="0.3">
      <c r="A64" s="1" t="s">
        <v>244</v>
      </c>
      <c r="B64" s="1" t="s">
        <v>25</v>
      </c>
      <c r="C64" s="1" t="s">
        <v>40</v>
      </c>
      <c r="D64" s="1" t="s">
        <v>5</v>
      </c>
      <c r="E64" s="3">
        <v>46174.648611111101</v>
      </c>
      <c r="F64" s="3">
        <v>46181.791666666701</v>
      </c>
      <c r="G64" s="3">
        <v>46181.791666666701</v>
      </c>
      <c r="H64" s="1" t="s">
        <v>42</v>
      </c>
      <c r="I64" s="1" t="s">
        <v>245</v>
      </c>
      <c r="J64" s="1" t="s">
        <v>59</v>
      </c>
      <c r="K64" s="1" t="s">
        <v>51</v>
      </c>
      <c r="L64" s="1" t="s">
        <v>31</v>
      </c>
      <c r="M64" s="1" t="s">
        <v>62</v>
      </c>
      <c r="N64" s="4">
        <v>36</v>
      </c>
      <c r="O64" s="1" t="s">
        <v>246</v>
      </c>
      <c r="P64" s="1" t="s">
        <v>47</v>
      </c>
      <c r="Q64" s="1" t="s">
        <v>35</v>
      </c>
      <c r="R64" s="1" t="s">
        <v>36</v>
      </c>
      <c r="S64" s="5">
        <v>10080</v>
      </c>
      <c r="T64" s="1" t="s">
        <v>247</v>
      </c>
      <c r="U64" s="1" t="s">
        <v>38</v>
      </c>
      <c r="V64" s="3">
        <v>46174.765277777798</v>
      </c>
      <c r="W64" s="6">
        <f t="shared" si="0"/>
        <v>26</v>
      </c>
      <c r="X64" s="6" t="str">
        <f t="shared" si="1"/>
        <v>Sim</v>
      </c>
    </row>
    <row r="65" spans="1:24" ht="15" customHeight="1" x14ac:dyDescent="0.3">
      <c r="A65" s="1" t="s">
        <v>248</v>
      </c>
      <c r="B65" s="1" t="s">
        <v>25</v>
      </c>
      <c r="C65" s="1" t="s">
        <v>40</v>
      </c>
      <c r="D65" s="1" t="s">
        <v>5</v>
      </c>
      <c r="E65" s="3">
        <v>46174.679861111101</v>
      </c>
      <c r="F65" s="3">
        <v>46181.791666666701</v>
      </c>
      <c r="G65" s="3">
        <v>46181.791666666701</v>
      </c>
      <c r="H65" s="1" t="s">
        <v>42</v>
      </c>
      <c r="I65" s="1" t="s">
        <v>249</v>
      </c>
      <c r="J65" s="1" t="s">
        <v>59</v>
      </c>
      <c r="K65" s="1" t="s">
        <v>51</v>
      </c>
      <c r="L65" s="1" t="s">
        <v>31</v>
      </c>
      <c r="M65" s="1" t="s">
        <v>62</v>
      </c>
      <c r="N65" s="4">
        <v>36</v>
      </c>
      <c r="O65" s="1" t="s">
        <v>33</v>
      </c>
      <c r="P65" s="1" t="s">
        <v>47</v>
      </c>
      <c r="Q65" s="1" t="s">
        <v>35</v>
      </c>
      <c r="R65" s="1" t="s">
        <v>36</v>
      </c>
      <c r="S65" s="5">
        <v>7320</v>
      </c>
      <c r="T65" s="1" t="s">
        <v>250</v>
      </c>
      <c r="U65" s="1" t="s">
        <v>38</v>
      </c>
      <c r="V65" s="3">
        <v>46174.764583333301</v>
      </c>
      <c r="W65" s="6">
        <f t="shared" si="0"/>
        <v>26</v>
      </c>
      <c r="X65" s="6" t="str">
        <f t="shared" si="1"/>
        <v>Sim</v>
      </c>
    </row>
    <row r="66" spans="1:24" ht="15" customHeight="1" x14ac:dyDescent="0.3">
      <c r="A66" s="1" t="s">
        <v>251</v>
      </c>
      <c r="B66" s="1" t="s">
        <v>25</v>
      </c>
      <c r="C66" s="1" t="s">
        <v>40</v>
      </c>
      <c r="D66" s="1" t="s">
        <v>5</v>
      </c>
      <c r="E66" s="3">
        <v>46261.486111111102</v>
      </c>
      <c r="F66" s="3">
        <v>46268.666666666701</v>
      </c>
      <c r="G66" s="3">
        <v>46268.666666666701</v>
      </c>
      <c r="H66" s="1" t="s">
        <v>42</v>
      </c>
      <c r="I66" s="1" t="s">
        <v>252</v>
      </c>
      <c r="J66" s="1" t="s">
        <v>54</v>
      </c>
      <c r="K66" s="1" t="s">
        <v>30</v>
      </c>
      <c r="L66" s="1" t="s">
        <v>31</v>
      </c>
      <c r="M66" s="1" t="s">
        <v>62</v>
      </c>
      <c r="N66" s="4">
        <v>36</v>
      </c>
      <c r="O66" s="1" t="s">
        <v>46</v>
      </c>
      <c r="P66" s="1" t="s">
        <v>47</v>
      </c>
      <c r="Q66" s="1" t="s">
        <v>68</v>
      </c>
      <c r="R66" s="1" t="s">
        <v>36</v>
      </c>
      <c r="S66" s="5">
        <v>14820</v>
      </c>
      <c r="T66" s="1" t="s">
        <v>253</v>
      </c>
      <c r="U66" s="1" t="s">
        <v>38</v>
      </c>
      <c r="V66" s="3">
        <v>46261.657638888901</v>
      </c>
      <c r="W66" s="6">
        <f t="shared" ref="W66:W129" si="2">COUNTIFS($J$2:$J$417,J66,$C$2:$C$417,C66)</f>
        <v>10</v>
      </c>
      <c r="X66" s="6" t="str">
        <f t="shared" ref="X66:X129" si="3">IF(W66&gt;1,"Sim","Não")</f>
        <v>Sim</v>
      </c>
    </row>
    <row r="67" spans="1:24" ht="15" customHeight="1" x14ac:dyDescent="0.3">
      <c r="A67" s="1" t="s">
        <v>254</v>
      </c>
      <c r="B67" s="1" t="s">
        <v>25</v>
      </c>
      <c r="C67" s="1" t="s">
        <v>40</v>
      </c>
      <c r="D67" s="1" t="s">
        <v>5</v>
      </c>
      <c r="E67" s="3">
        <v>46186.525694444397</v>
      </c>
      <c r="F67" s="3">
        <v>46191.715972222199</v>
      </c>
      <c r="G67" s="3">
        <v>46191.715972222199</v>
      </c>
      <c r="H67" s="1" t="s">
        <v>42</v>
      </c>
      <c r="I67" s="1" t="s">
        <v>255</v>
      </c>
      <c r="J67" s="1" t="s">
        <v>256</v>
      </c>
      <c r="K67" s="1" t="s">
        <v>30</v>
      </c>
      <c r="L67" s="1" t="s">
        <v>31</v>
      </c>
      <c r="M67" s="1" t="s">
        <v>143</v>
      </c>
      <c r="N67" s="4">
        <v>36</v>
      </c>
      <c r="O67" s="1" t="s">
        <v>46</v>
      </c>
      <c r="P67" s="1" t="s">
        <v>257</v>
      </c>
      <c r="Q67" s="1" t="s">
        <v>145</v>
      </c>
      <c r="R67" s="1" t="s">
        <v>36</v>
      </c>
      <c r="S67" s="5">
        <v>14640</v>
      </c>
      <c r="T67" s="1" t="s">
        <v>146</v>
      </c>
      <c r="U67" s="1" t="s">
        <v>38</v>
      </c>
      <c r="V67" s="3">
        <v>46186.695138888899</v>
      </c>
      <c r="W67" s="6">
        <f t="shared" si="2"/>
        <v>1</v>
      </c>
      <c r="X67" s="6" t="str">
        <f t="shared" si="3"/>
        <v>Não</v>
      </c>
    </row>
    <row r="68" spans="1:24" ht="15" customHeight="1" x14ac:dyDescent="0.3">
      <c r="A68" s="1" t="s">
        <v>258</v>
      </c>
      <c r="B68" s="1" t="s">
        <v>25</v>
      </c>
      <c r="C68" s="1" t="s">
        <v>40</v>
      </c>
      <c r="D68" s="1" t="s">
        <v>5</v>
      </c>
      <c r="E68" s="3">
        <v>46182.620138888902</v>
      </c>
      <c r="F68" s="3">
        <v>46189.791666666701</v>
      </c>
      <c r="G68" s="3">
        <v>46189.791666666701</v>
      </c>
      <c r="H68" s="1" t="s">
        <v>42</v>
      </c>
      <c r="I68" s="1" t="s">
        <v>259</v>
      </c>
      <c r="J68" s="1" t="s">
        <v>235</v>
      </c>
      <c r="K68" s="1" t="s">
        <v>260</v>
      </c>
      <c r="L68" s="1" t="s">
        <v>31</v>
      </c>
      <c r="M68" s="1" t="s">
        <v>45</v>
      </c>
      <c r="N68" s="4">
        <v>24</v>
      </c>
      <c r="O68" s="1" t="s">
        <v>46</v>
      </c>
      <c r="P68" s="1" t="s">
        <v>47</v>
      </c>
      <c r="Q68" s="1" t="s">
        <v>35</v>
      </c>
      <c r="R68" s="1" t="s">
        <v>36</v>
      </c>
      <c r="S68" s="5">
        <v>11280</v>
      </c>
      <c r="T68" s="1" t="s">
        <v>261</v>
      </c>
      <c r="U68" s="1" t="s">
        <v>38</v>
      </c>
      <c r="V68" s="3">
        <v>46182.750694444498</v>
      </c>
      <c r="W68" s="6">
        <f t="shared" si="2"/>
        <v>6</v>
      </c>
      <c r="X68" s="6" t="str">
        <f t="shared" si="3"/>
        <v>Sim</v>
      </c>
    </row>
    <row r="69" spans="1:24" ht="15" customHeight="1" x14ac:dyDescent="0.3">
      <c r="A69" s="1" t="s">
        <v>262</v>
      </c>
      <c r="B69" s="1" t="s">
        <v>25</v>
      </c>
      <c r="C69" s="1" t="s">
        <v>40</v>
      </c>
      <c r="D69" s="1" t="s">
        <v>5</v>
      </c>
      <c r="E69" s="3">
        <v>46237.739583333299</v>
      </c>
      <c r="F69" s="3">
        <v>46245.708333333299</v>
      </c>
      <c r="G69" s="3">
        <v>46245.708333333299</v>
      </c>
      <c r="H69" s="1" t="s">
        <v>42</v>
      </c>
      <c r="I69" s="1" t="s">
        <v>263</v>
      </c>
      <c r="J69" s="1" t="s">
        <v>44</v>
      </c>
      <c r="K69" s="1" t="s">
        <v>30</v>
      </c>
      <c r="L69" s="1" t="s">
        <v>31</v>
      </c>
      <c r="M69" s="1" t="s">
        <v>62</v>
      </c>
      <c r="N69" s="4">
        <v>36</v>
      </c>
      <c r="O69" s="1" t="s">
        <v>46</v>
      </c>
      <c r="P69" s="1" t="s">
        <v>47</v>
      </c>
      <c r="Q69" s="1" t="s">
        <v>35</v>
      </c>
      <c r="R69" s="1" t="s">
        <v>36</v>
      </c>
      <c r="S69" s="5">
        <v>83160</v>
      </c>
      <c r="T69" s="1" t="s">
        <v>264</v>
      </c>
      <c r="U69" s="1" t="s">
        <v>38</v>
      </c>
      <c r="V69" s="3">
        <v>46238.702083333301</v>
      </c>
      <c r="W69" s="6">
        <f t="shared" si="2"/>
        <v>9</v>
      </c>
      <c r="X69" s="6" t="str">
        <f t="shared" si="3"/>
        <v>Sim</v>
      </c>
    </row>
    <row r="70" spans="1:24" ht="15" customHeight="1" x14ac:dyDescent="0.3">
      <c r="A70" s="1" t="s">
        <v>265</v>
      </c>
      <c r="B70" s="1" t="s">
        <v>25</v>
      </c>
      <c r="C70" s="1" t="s">
        <v>40</v>
      </c>
      <c r="D70" s="1" t="s">
        <v>5</v>
      </c>
      <c r="E70" s="3">
        <v>46232.612500000003</v>
      </c>
      <c r="F70" s="3">
        <v>46247.416666666701</v>
      </c>
      <c r="G70" s="3">
        <v>46247.416666666701</v>
      </c>
      <c r="H70" s="1" t="s">
        <v>42</v>
      </c>
      <c r="I70" s="1" t="s">
        <v>266</v>
      </c>
      <c r="J70" s="1" t="s">
        <v>44</v>
      </c>
      <c r="K70" s="1" t="s">
        <v>30</v>
      </c>
      <c r="L70" s="1" t="s">
        <v>31</v>
      </c>
      <c r="M70" s="1" t="s">
        <v>32</v>
      </c>
      <c r="N70" s="4">
        <v>36</v>
      </c>
      <c r="O70" s="1" t="s">
        <v>46</v>
      </c>
      <c r="P70" s="1" t="s">
        <v>47</v>
      </c>
      <c r="Q70" s="1" t="s">
        <v>35</v>
      </c>
      <c r="R70" s="1" t="s">
        <v>36</v>
      </c>
      <c r="S70" s="5">
        <v>671160</v>
      </c>
      <c r="T70" s="1" t="s">
        <v>267</v>
      </c>
      <c r="U70" s="1" t="s">
        <v>38</v>
      </c>
      <c r="V70" s="3">
        <v>46240.380555555603</v>
      </c>
      <c r="W70" s="6">
        <f t="shared" si="2"/>
        <v>9</v>
      </c>
      <c r="X70" s="6" t="str">
        <f t="shared" si="3"/>
        <v>Sim</v>
      </c>
    </row>
    <row r="71" spans="1:24" ht="15" customHeight="1" x14ac:dyDescent="0.3">
      <c r="A71" s="1" t="s">
        <v>140</v>
      </c>
      <c r="B71" s="1" t="s">
        <v>25</v>
      </c>
      <c r="C71" s="1" t="s">
        <v>40</v>
      </c>
      <c r="D71" s="1" t="s">
        <v>5</v>
      </c>
      <c r="E71" s="3">
        <v>46186.620138888902</v>
      </c>
      <c r="F71" s="3">
        <v>46188.403472222199</v>
      </c>
      <c r="G71" s="3">
        <v>46188.403472222199</v>
      </c>
      <c r="H71" s="1" t="s">
        <v>42</v>
      </c>
      <c r="I71" s="1" t="s">
        <v>268</v>
      </c>
      <c r="J71" s="1" t="s">
        <v>269</v>
      </c>
      <c r="K71" s="1" t="s">
        <v>30</v>
      </c>
      <c r="L71" s="1" t="s">
        <v>31</v>
      </c>
      <c r="M71" s="1" t="s">
        <v>143</v>
      </c>
      <c r="N71" s="4">
        <v>36</v>
      </c>
      <c r="O71" s="1" t="s">
        <v>46</v>
      </c>
      <c r="Q71" s="1" t="s">
        <v>145</v>
      </c>
      <c r="R71" s="1" t="s">
        <v>36</v>
      </c>
      <c r="S71" s="5">
        <v>6480</v>
      </c>
      <c r="T71" s="1" t="s">
        <v>146</v>
      </c>
      <c r="U71" s="1" t="s">
        <v>38</v>
      </c>
      <c r="V71" s="3">
        <v>46186.695138888899</v>
      </c>
      <c r="W71" s="6">
        <f t="shared" si="2"/>
        <v>1</v>
      </c>
      <c r="X71" s="6" t="str">
        <f t="shared" si="3"/>
        <v>Não</v>
      </c>
    </row>
    <row r="72" spans="1:24" ht="15" customHeight="1" x14ac:dyDescent="0.3">
      <c r="A72" s="1" t="s">
        <v>160</v>
      </c>
      <c r="B72" s="1" t="s">
        <v>25</v>
      </c>
      <c r="C72" s="1" t="s">
        <v>40</v>
      </c>
      <c r="D72" s="1" t="s">
        <v>5</v>
      </c>
      <c r="E72" s="3">
        <v>46186.610416666699</v>
      </c>
      <c r="F72" s="3">
        <v>46193.708333333299</v>
      </c>
      <c r="G72" s="3">
        <v>46193.708333333299</v>
      </c>
      <c r="H72" s="1" t="s">
        <v>42</v>
      </c>
      <c r="I72" s="1" t="s">
        <v>270</v>
      </c>
      <c r="J72" s="1" t="s">
        <v>271</v>
      </c>
      <c r="K72" s="1" t="s">
        <v>30</v>
      </c>
      <c r="L72" s="1" t="s">
        <v>31</v>
      </c>
      <c r="M72" s="1" t="s">
        <v>143</v>
      </c>
      <c r="N72" s="4">
        <v>36</v>
      </c>
      <c r="O72" s="1" t="s">
        <v>144</v>
      </c>
      <c r="Q72" s="1" t="s">
        <v>145</v>
      </c>
      <c r="R72" s="1" t="s">
        <v>36</v>
      </c>
      <c r="S72" s="5">
        <v>7320</v>
      </c>
      <c r="T72" s="1" t="s">
        <v>146</v>
      </c>
      <c r="U72" s="1" t="s">
        <v>38</v>
      </c>
      <c r="V72" s="3">
        <v>46186.695138888899</v>
      </c>
      <c r="W72" s="6">
        <f t="shared" si="2"/>
        <v>1</v>
      </c>
      <c r="X72" s="6" t="str">
        <f t="shared" si="3"/>
        <v>Não</v>
      </c>
    </row>
    <row r="73" spans="1:24" ht="15" customHeight="1" x14ac:dyDescent="0.3">
      <c r="A73" s="1" t="s">
        <v>272</v>
      </c>
      <c r="B73" s="1" t="s">
        <v>25</v>
      </c>
      <c r="C73" s="1" t="s">
        <v>40</v>
      </c>
      <c r="D73" s="1" t="s">
        <v>5</v>
      </c>
      <c r="E73" s="3">
        <v>46176.609722222202</v>
      </c>
      <c r="F73" s="3">
        <v>46185.416666666701</v>
      </c>
      <c r="G73" s="3">
        <v>46185.416666666701</v>
      </c>
      <c r="H73" s="1" t="s">
        <v>42</v>
      </c>
      <c r="I73" s="1" t="s">
        <v>273</v>
      </c>
      <c r="J73" s="1" t="s">
        <v>59</v>
      </c>
      <c r="K73" s="1" t="s">
        <v>30</v>
      </c>
      <c r="L73" s="1" t="s">
        <v>31</v>
      </c>
      <c r="M73" s="1" t="s">
        <v>62</v>
      </c>
      <c r="N73" s="4">
        <v>36</v>
      </c>
      <c r="O73" s="1" t="s">
        <v>46</v>
      </c>
      <c r="P73" s="1" t="s">
        <v>47</v>
      </c>
      <c r="Q73" s="1" t="s">
        <v>35</v>
      </c>
      <c r="R73" s="1" t="s">
        <v>36</v>
      </c>
      <c r="S73" s="5">
        <v>155220</v>
      </c>
      <c r="T73" s="1" t="s">
        <v>274</v>
      </c>
      <c r="U73" s="1" t="s">
        <v>38</v>
      </c>
      <c r="V73" s="3">
        <v>46178.40625</v>
      </c>
      <c r="W73" s="6">
        <f t="shared" si="2"/>
        <v>26</v>
      </c>
      <c r="X73" s="6" t="str">
        <f t="shared" si="3"/>
        <v>Sim</v>
      </c>
    </row>
    <row r="74" spans="1:24" ht="15" customHeight="1" x14ac:dyDescent="0.3">
      <c r="A74" s="1" t="s">
        <v>140</v>
      </c>
      <c r="B74" s="1" t="s">
        <v>25</v>
      </c>
      <c r="C74" s="1" t="s">
        <v>40</v>
      </c>
      <c r="D74" s="1" t="s">
        <v>5</v>
      </c>
      <c r="E74" s="3">
        <v>46186.618750000001</v>
      </c>
      <c r="F74" s="3">
        <v>46193.708333333299</v>
      </c>
      <c r="G74" s="3">
        <v>46193.708333333299</v>
      </c>
      <c r="H74" s="1" t="s">
        <v>42</v>
      </c>
      <c r="I74" s="1" t="s">
        <v>275</v>
      </c>
      <c r="J74" s="1" t="s">
        <v>276</v>
      </c>
      <c r="K74" s="1" t="s">
        <v>30</v>
      </c>
      <c r="L74" s="1" t="s">
        <v>31</v>
      </c>
      <c r="M74" s="1" t="s">
        <v>143</v>
      </c>
      <c r="N74" s="4">
        <v>36</v>
      </c>
      <c r="O74" s="1" t="s">
        <v>46</v>
      </c>
      <c r="Q74" s="1" t="s">
        <v>145</v>
      </c>
      <c r="R74" s="1" t="s">
        <v>36</v>
      </c>
      <c r="S74" s="5">
        <v>6600</v>
      </c>
      <c r="T74" s="1" t="s">
        <v>146</v>
      </c>
      <c r="U74" s="1" t="s">
        <v>38</v>
      </c>
      <c r="V74" s="3">
        <v>46186.695138888899</v>
      </c>
      <c r="W74" s="6">
        <f t="shared" si="2"/>
        <v>1</v>
      </c>
      <c r="X74" s="6" t="str">
        <f t="shared" si="3"/>
        <v>Não</v>
      </c>
    </row>
    <row r="75" spans="1:24" ht="15" customHeight="1" x14ac:dyDescent="0.3">
      <c r="A75" s="1" t="s">
        <v>277</v>
      </c>
      <c r="B75" s="1" t="s">
        <v>25</v>
      </c>
      <c r="C75" s="1" t="s">
        <v>40</v>
      </c>
      <c r="D75" s="1" t="s">
        <v>5</v>
      </c>
      <c r="E75" s="3">
        <v>46186.661805555603</v>
      </c>
      <c r="F75" s="3">
        <v>46193.708333333299</v>
      </c>
      <c r="G75" s="3">
        <v>46193.708333333299</v>
      </c>
      <c r="H75" s="1" t="s">
        <v>42</v>
      </c>
      <c r="I75" s="1" t="s">
        <v>278</v>
      </c>
      <c r="J75" s="1" t="s">
        <v>279</v>
      </c>
      <c r="K75" s="1" t="s">
        <v>30</v>
      </c>
      <c r="L75" s="1" t="s">
        <v>31</v>
      </c>
      <c r="M75" s="1" t="s">
        <v>143</v>
      </c>
      <c r="N75" s="4">
        <v>36</v>
      </c>
      <c r="O75" s="1" t="s">
        <v>46</v>
      </c>
      <c r="Q75" s="1" t="s">
        <v>145</v>
      </c>
      <c r="R75" s="1" t="s">
        <v>36</v>
      </c>
      <c r="S75" s="5">
        <v>2880</v>
      </c>
      <c r="T75" s="1" t="s">
        <v>146</v>
      </c>
      <c r="U75" s="1" t="s">
        <v>38</v>
      </c>
      <c r="V75" s="3">
        <v>46186.695138888899</v>
      </c>
      <c r="W75" s="6">
        <f t="shared" si="2"/>
        <v>1</v>
      </c>
      <c r="X75" s="6" t="str">
        <f t="shared" si="3"/>
        <v>Não</v>
      </c>
    </row>
    <row r="76" spans="1:24" ht="15" customHeight="1" x14ac:dyDescent="0.3">
      <c r="A76" s="1" t="s">
        <v>280</v>
      </c>
      <c r="B76" s="1" t="s">
        <v>25</v>
      </c>
      <c r="C76" s="1" t="s">
        <v>40</v>
      </c>
      <c r="D76" s="1" t="s">
        <v>5</v>
      </c>
      <c r="E76" s="3">
        <v>46186.664583333302</v>
      </c>
      <c r="F76" s="3">
        <v>46186.708333333299</v>
      </c>
      <c r="G76" s="3">
        <v>46186.708333333299</v>
      </c>
      <c r="H76" s="1" t="s">
        <v>42</v>
      </c>
      <c r="I76" s="1" t="s">
        <v>281</v>
      </c>
      <c r="J76" s="1" t="s">
        <v>282</v>
      </c>
      <c r="K76" s="1" t="s">
        <v>30</v>
      </c>
      <c r="L76" s="1" t="s">
        <v>31</v>
      </c>
      <c r="M76" s="1" t="s">
        <v>143</v>
      </c>
      <c r="N76" s="4">
        <v>36</v>
      </c>
      <c r="O76" s="1" t="s">
        <v>46</v>
      </c>
      <c r="Q76" s="1" t="s">
        <v>145</v>
      </c>
      <c r="R76" s="1" t="s">
        <v>36</v>
      </c>
      <c r="S76" s="5">
        <v>2640</v>
      </c>
      <c r="T76" s="1" t="s">
        <v>146</v>
      </c>
      <c r="U76" s="1" t="s">
        <v>38</v>
      </c>
      <c r="V76" s="3">
        <v>46186.695138888899</v>
      </c>
      <c r="W76" s="6">
        <f t="shared" si="2"/>
        <v>1</v>
      </c>
      <c r="X76" s="6" t="str">
        <f t="shared" si="3"/>
        <v>Não</v>
      </c>
    </row>
    <row r="77" spans="1:24" ht="15" customHeight="1" x14ac:dyDescent="0.3">
      <c r="A77" s="1" t="s">
        <v>184</v>
      </c>
      <c r="B77" s="1" t="s">
        <v>25</v>
      </c>
      <c r="C77" s="1" t="s">
        <v>40</v>
      </c>
      <c r="D77" s="1" t="s">
        <v>5</v>
      </c>
      <c r="E77" s="3">
        <v>46186.673611111102</v>
      </c>
      <c r="F77" s="3">
        <v>46190.461111111101</v>
      </c>
      <c r="G77" s="3">
        <v>46190.461111111101</v>
      </c>
      <c r="H77" s="1" t="s">
        <v>42</v>
      </c>
      <c r="I77" s="1" t="s">
        <v>283</v>
      </c>
      <c r="J77" s="1" t="s">
        <v>284</v>
      </c>
      <c r="K77" s="1" t="s">
        <v>30</v>
      </c>
      <c r="L77" s="1" t="s">
        <v>31</v>
      </c>
      <c r="M77" s="1" t="s">
        <v>143</v>
      </c>
      <c r="N77" s="4">
        <v>36</v>
      </c>
      <c r="O77" s="1" t="s">
        <v>46</v>
      </c>
      <c r="Q77" s="1" t="s">
        <v>145</v>
      </c>
      <c r="R77" s="1" t="s">
        <v>36</v>
      </c>
      <c r="S77" s="5">
        <v>1860</v>
      </c>
      <c r="T77" s="1" t="s">
        <v>146</v>
      </c>
      <c r="U77" s="1" t="s">
        <v>38</v>
      </c>
      <c r="V77" s="3">
        <v>46186.695138888899</v>
      </c>
      <c r="W77" s="6">
        <f t="shared" si="2"/>
        <v>1</v>
      </c>
      <c r="X77" s="6" t="str">
        <f t="shared" si="3"/>
        <v>Não</v>
      </c>
    </row>
    <row r="78" spans="1:24" ht="15" customHeight="1" x14ac:dyDescent="0.3">
      <c r="A78" s="1" t="s">
        <v>285</v>
      </c>
      <c r="B78" s="1" t="s">
        <v>25</v>
      </c>
      <c r="C78" s="1" t="s">
        <v>40</v>
      </c>
      <c r="D78" s="1" t="s">
        <v>5</v>
      </c>
      <c r="E78" s="3">
        <v>46186.536805555603</v>
      </c>
      <c r="F78" s="3">
        <v>46189.432638888902</v>
      </c>
      <c r="G78" s="3">
        <v>46189.432638888902</v>
      </c>
      <c r="H78" s="1" t="s">
        <v>42</v>
      </c>
      <c r="I78" s="1" t="s">
        <v>286</v>
      </c>
      <c r="J78" s="1" t="s">
        <v>287</v>
      </c>
      <c r="K78" s="1" t="s">
        <v>30</v>
      </c>
      <c r="L78" s="1" t="s">
        <v>31</v>
      </c>
      <c r="M78" s="1" t="s">
        <v>143</v>
      </c>
      <c r="N78" s="4">
        <v>36</v>
      </c>
      <c r="O78" s="1" t="s">
        <v>46</v>
      </c>
      <c r="P78" s="1" t="s">
        <v>288</v>
      </c>
      <c r="Q78" s="1" t="s">
        <v>145</v>
      </c>
      <c r="R78" s="1" t="s">
        <v>36</v>
      </c>
      <c r="S78" s="5">
        <v>13680</v>
      </c>
      <c r="T78" s="1" t="s">
        <v>146</v>
      </c>
      <c r="U78" s="1" t="s">
        <v>120</v>
      </c>
      <c r="V78" s="3">
        <v>46186.695138888899</v>
      </c>
      <c r="W78" s="6">
        <f t="shared" si="2"/>
        <v>1</v>
      </c>
      <c r="X78" s="6" t="str">
        <f t="shared" si="3"/>
        <v>Não</v>
      </c>
    </row>
    <row r="79" spans="1:24" ht="15" customHeight="1" x14ac:dyDescent="0.3">
      <c r="A79" s="1" t="s">
        <v>289</v>
      </c>
      <c r="B79" s="1" t="s">
        <v>25</v>
      </c>
      <c r="C79" s="1" t="s">
        <v>40</v>
      </c>
      <c r="D79" s="1" t="s">
        <v>5</v>
      </c>
      <c r="E79" s="3">
        <v>46227.651388888902</v>
      </c>
      <c r="F79" s="3">
        <v>46234.708333333299</v>
      </c>
      <c r="G79" s="3">
        <v>46234.708333333299</v>
      </c>
      <c r="H79" s="1" t="s">
        <v>42</v>
      </c>
      <c r="I79" s="1" t="s">
        <v>290</v>
      </c>
      <c r="J79" s="1" t="s">
        <v>66</v>
      </c>
      <c r="K79" s="1" t="s">
        <v>30</v>
      </c>
      <c r="L79" s="1" t="s">
        <v>31</v>
      </c>
      <c r="M79" s="1" t="s">
        <v>45</v>
      </c>
      <c r="N79" s="4">
        <v>36</v>
      </c>
      <c r="O79" s="1" t="s">
        <v>46</v>
      </c>
      <c r="P79" s="1" t="s">
        <v>67</v>
      </c>
      <c r="Q79" s="1" t="s">
        <v>35</v>
      </c>
      <c r="R79" s="1" t="s">
        <v>36</v>
      </c>
      <c r="S79" s="5">
        <v>3840</v>
      </c>
      <c r="T79" s="1" t="s">
        <v>291</v>
      </c>
      <c r="U79" s="1" t="s">
        <v>38</v>
      </c>
      <c r="V79" s="3">
        <v>46227.695833333302</v>
      </c>
      <c r="W79" s="6">
        <f t="shared" si="2"/>
        <v>7</v>
      </c>
      <c r="X79" s="6" t="str">
        <f t="shared" si="3"/>
        <v>Sim</v>
      </c>
    </row>
    <row r="80" spans="1:24" ht="15" customHeight="1" x14ac:dyDescent="0.3">
      <c r="A80" s="1" t="s">
        <v>292</v>
      </c>
      <c r="B80" s="1" t="s">
        <v>25</v>
      </c>
      <c r="C80" s="1" t="s">
        <v>40</v>
      </c>
      <c r="D80" s="1" t="s">
        <v>5</v>
      </c>
      <c r="E80" s="3">
        <v>46181.736111111102</v>
      </c>
      <c r="F80" s="3">
        <v>46197.375</v>
      </c>
      <c r="G80" s="3">
        <v>46197.375</v>
      </c>
      <c r="H80" s="1" t="s">
        <v>42</v>
      </c>
      <c r="I80" s="1" t="s">
        <v>293</v>
      </c>
      <c r="J80" s="1" t="s">
        <v>44</v>
      </c>
      <c r="K80" s="1" t="s">
        <v>30</v>
      </c>
      <c r="L80" s="1" t="s">
        <v>31</v>
      </c>
      <c r="M80" s="1" t="s">
        <v>62</v>
      </c>
      <c r="N80" s="4">
        <v>36</v>
      </c>
      <c r="O80" s="1" t="s">
        <v>46</v>
      </c>
      <c r="P80" s="1" t="s">
        <v>47</v>
      </c>
      <c r="Q80" s="1" t="s">
        <v>35</v>
      </c>
      <c r="R80" s="1" t="s">
        <v>36</v>
      </c>
      <c r="S80" s="5">
        <v>745140</v>
      </c>
      <c r="T80" s="1" t="s">
        <v>294</v>
      </c>
      <c r="U80" s="1" t="s">
        <v>38</v>
      </c>
      <c r="V80" s="3">
        <v>46190.360416666699</v>
      </c>
      <c r="W80" s="6">
        <f t="shared" si="2"/>
        <v>9</v>
      </c>
      <c r="X80" s="6" t="str">
        <f t="shared" si="3"/>
        <v>Sim</v>
      </c>
    </row>
    <row r="81" spans="1:24" ht="15" customHeight="1" x14ac:dyDescent="0.3">
      <c r="A81" s="1" t="s">
        <v>295</v>
      </c>
      <c r="B81" s="1" t="s">
        <v>25</v>
      </c>
      <c r="C81" s="1" t="s">
        <v>40</v>
      </c>
      <c r="D81" s="1" t="s">
        <v>5</v>
      </c>
      <c r="E81" s="3">
        <v>46213.55</v>
      </c>
      <c r="F81" s="3">
        <v>46227.791666666701</v>
      </c>
      <c r="G81" s="3">
        <v>46227.791666666701</v>
      </c>
      <c r="H81" s="1" t="s">
        <v>42</v>
      </c>
      <c r="I81" s="1" t="s">
        <v>296</v>
      </c>
      <c r="J81" s="1" t="s">
        <v>59</v>
      </c>
      <c r="K81" s="1" t="s">
        <v>30</v>
      </c>
      <c r="L81" s="1" t="s">
        <v>31</v>
      </c>
      <c r="M81" s="1" t="s">
        <v>62</v>
      </c>
      <c r="N81" s="4">
        <v>36</v>
      </c>
      <c r="O81" s="1" t="s">
        <v>246</v>
      </c>
      <c r="P81" s="1" t="s">
        <v>47</v>
      </c>
      <c r="Q81" s="1" t="s">
        <v>35</v>
      </c>
      <c r="R81" s="1" t="s">
        <v>36</v>
      </c>
      <c r="S81" s="5">
        <v>623400</v>
      </c>
      <c r="T81" s="1" t="s">
        <v>297</v>
      </c>
      <c r="U81" s="1" t="s">
        <v>38</v>
      </c>
      <c r="V81" s="3">
        <v>46220.765277777798</v>
      </c>
      <c r="W81" s="6">
        <f t="shared" si="2"/>
        <v>26</v>
      </c>
      <c r="X81" s="6" t="str">
        <f t="shared" si="3"/>
        <v>Sim</v>
      </c>
    </row>
    <row r="82" spans="1:24" ht="15" customHeight="1" x14ac:dyDescent="0.3">
      <c r="A82" s="1" t="s">
        <v>179</v>
      </c>
      <c r="B82" s="1" t="s">
        <v>25</v>
      </c>
      <c r="C82" s="1" t="s">
        <v>40</v>
      </c>
      <c r="D82" s="1" t="s">
        <v>5</v>
      </c>
      <c r="E82" s="3">
        <v>46186.636111111096</v>
      </c>
      <c r="F82" s="3">
        <v>46188.5805555556</v>
      </c>
      <c r="G82" s="3">
        <v>46188.5805555556</v>
      </c>
      <c r="H82" s="1" t="s">
        <v>42</v>
      </c>
      <c r="I82" s="1" t="s">
        <v>298</v>
      </c>
      <c r="J82" s="1" t="s">
        <v>299</v>
      </c>
      <c r="K82" s="1" t="s">
        <v>30</v>
      </c>
      <c r="L82" s="1" t="s">
        <v>31</v>
      </c>
      <c r="M82" s="1" t="s">
        <v>143</v>
      </c>
      <c r="N82" s="4">
        <v>36</v>
      </c>
      <c r="O82" s="1" t="s">
        <v>46</v>
      </c>
      <c r="P82" s="1" t="s">
        <v>300</v>
      </c>
      <c r="Q82" s="1" t="s">
        <v>145</v>
      </c>
      <c r="R82" s="1" t="s">
        <v>36</v>
      </c>
      <c r="S82" s="5">
        <v>5100</v>
      </c>
      <c r="T82" s="1" t="s">
        <v>146</v>
      </c>
      <c r="U82" s="1" t="s">
        <v>38</v>
      </c>
      <c r="V82" s="3">
        <v>46186.695138888899</v>
      </c>
      <c r="W82" s="6">
        <f t="shared" si="2"/>
        <v>1</v>
      </c>
      <c r="X82" s="6" t="str">
        <f t="shared" si="3"/>
        <v>Não</v>
      </c>
    </row>
    <row r="83" spans="1:24" ht="15" customHeight="1" x14ac:dyDescent="0.3">
      <c r="A83" s="1" t="s">
        <v>301</v>
      </c>
      <c r="B83" s="1" t="s">
        <v>25</v>
      </c>
      <c r="C83" s="1" t="s">
        <v>40</v>
      </c>
      <c r="D83" s="1" t="s">
        <v>5</v>
      </c>
      <c r="E83" s="3">
        <v>46186.381249999999</v>
      </c>
      <c r="F83" s="3">
        <v>46193.709027777797</v>
      </c>
      <c r="G83" s="3">
        <v>46193.709027777797</v>
      </c>
      <c r="H83" s="1" t="s">
        <v>42</v>
      </c>
      <c r="I83" s="1" t="s">
        <v>302</v>
      </c>
      <c r="J83" s="1" t="s">
        <v>214</v>
      </c>
      <c r="K83" s="1" t="s">
        <v>51</v>
      </c>
      <c r="L83" s="1" t="s">
        <v>31</v>
      </c>
      <c r="M83" s="1" t="s">
        <v>143</v>
      </c>
      <c r="N83" s="4">
        <v>36</v>
      </c>
      <c r="O83" s="1" t="s">
        <v>46</v>
      </c>
      <c r="P83" s="1" t="s">
        <v>47</v>
      </c>
      <c r="Q83" s="1" t="s">
        <v>145</v>
      </c>
      <c r="R83" s="1" t="s">
        <v>36</v>
      </c>
      <c r="S83" s="5">
        <v>27120</v>
      </c>
      <c r="T83" s="1" t="s">
        <v>303</v>
      </c>
      <c r="U83" s="1" t="s">
        <v>38</v>
      </c>
      <c r="V83" s="3">
        <v>46186.695138888899</v>
      </c>
      <c r="W83" s="6">
        <f t="shared" si="2"/>
        <v>3</v>
      </c>
      <c r="X83" s="6" t="str">
        <f t="shared" si="3"/>
        <v>Sim</v>
      </c>
    </row>
    <row r="84" spans="1:24" ht="15" customHeight="1" x14ac:dyDescent="0.3">
      <c r="A84" s="1" t="s">
        <v>179</v>
      </c>
      <c r="B84" s="1" t="s">
        <v>25</v>
      </c>
      <c r="C84" s="1" t="s">
        <v>40</v>
      </c>
      <c r="D84" s="1" t="s">
        <v>5</v>
      </c>
      <c r="E84" s="3">
        <v>46186.645833333299</v>
      </c>
      <c r="F84" s="3">
        <v>46188.59375</v>
      </c>
      <c r="G84" s="3">
        <v>46188.59375</v>
      </c>
      <c r="H84" s="1" t="s">
        <v>42</v>
      </c>
      <c r="I84" s="1" t="s">
        <v>304</v>
      </c>
      <c r="J84" s="1" t="s">
        <v>305</v>
      </c>
      <c r="K84" s="1" t="s">
        <v>51</v>
      </c>
      <c r="L84" s="1" t="s">
        <v>31</v>
      </c>
      <c r="M84" s="1" t="s">
        <v>143</v>
      </c>
      <c r="N84" s="4">
        <v>36</v>
      </c>
      <c r="O84" s="1" t="s">
        <v>46</v>
      </c>
      <c r="Q84" s="1" t="s">
        <v>145</v>
      </c>
      <c r="R84" s="1" t="s">
        <v>36</v>
      </c>
      <c r="S84" s="5">
        <v>4260</v>
      </c>
      <c r="T84" s="1" t="s">
        <v>146</v>
      </c>
      <c r="U84" s="1" t="s">
        <v>38</v>
      </c>
      <c r="V84" s="3">
        <v>46186.695138888899</v>
      </c>
      <c r="W84" s="6">
        <f t="shared" si="2"/>
        <v>2</v>
      </c>
      <c r="X84" s="6" t="str">
        <f t="shared" si="3"/>
        <v>Sim</v>
      </c>
    </row>
    <row r="85" spans="1:24" ht="15" customHeight="1" x14ac:dyDescent="0.3">
      <c r="A85" s="1" t="s">
        <v>306</v>
      </c>
      <c r="B85" s="1" t="s">
        <v>25</v>
      </c>
      <c r="C85" s="1" t="s">
        <v>40</v>
      </c>
      <c r="D85" s="1" t="s">
        <v>5</v>
      </c>
      <c r="E85" s="3">
        <v>46188.656944444498</v>
      </c>
      <c r="F85" s="3">
        <v>46197.416666666701</v>
      </c>
      <c r="G85" s="3">
        <v>46197.416666666701</v>
      </c>
      <c r="H85" s="1" t="s">
        <v>42</v>
      </c>
      <c r="I85" s="1" t="s">
        <v>307</v>
      </c>
      <c r="J85" s="1" t="s">
        <v>308</v>
      </c>
      <c r="K85" s="1" t="s">
        <v>30</v>
      </c>
      <c r="L85" s="1" t="s">
        <v>31</v>
      </c>
      <c r="M85" s="1" t="s">
        <v>62</v>
      </c>
      <c r="N85" s="4">
        <v>36</v>
      </c>
      <c r="O85" s="1" t="s">
        <v>46</v>
      </c>
      <c r="P85" s="1" t="s">
        <v>47</v>
      </c>
      <c r="Q85" s="1" t="s">
        <v>35</v>
      </c>
      <c r="R85" s="1" t="s">
        <v>36</v>
      </c>
      <c r="S85" s="5">
        <v>149400</v>
      </c>
      <c r="T85" s="1" t="s">
        <v>309</v>
      </c>
      <c r="U85" s="1" t="s">
        <v>38</v>
      </c>
      <c r="V85" s="3">
        <v>46190.386111111096</v>
      </c>
      <c r="W85" s="6">
        <f t="shared" si="2"/>
        <v>3</v>
      </c>
      <c r="X85" s="6" t="str">
        <f t="shared" si="3"/>
        <v>Sim</v>
      </c>
    </row>
    <row r="86" spans="1:24" ht="15" customHeight="1" x14ac:dyDescent="0.3">
      <c r="A86" s="1" t="s">
        <v>310</v>
      </c>
      <c r="B86" s="1" t="s">
        <v>25</v>
      </c>
      <c r="C86" s="1" t="s">
        <v>40</v>
      </c>
      <c r="D86" s="1" t="s">
        <v>5</v>
      </c>
      <c r="E86" s="3">
        <v>46185.586805555598</v>
      </c>
      <c r="F86" s="3">
        <v>46199.416666666701</v>
      </c>
      <c r="G86" s="3">
        <v>46199.416666666701</v>
      </c>
      <c r="H86" s="1" t="s">
        <v>42</v>
      </c>
      <c r="I86" s="1" t="s">
        <v>311</v>
      </c>
      <c r="J86" s="1" t="s">
        <v>59</v>
      </c>
      <c r="K86" s="1" t="s">
        <v>30</v>
      </c>
      <c r="L86" s="1" t="s">
        <v>31</v>
      </c>
      <c r="M86" s="1" t="s">
        <v>62</v>
      </c>
      <c r="N86" s="4">
        <v>36</v>
      </c>
      <c r="O86" s="1" t="s">
        <v>46</v>
      </c>
      <c r="P86" s="1" t="s">
        <v>47</v>
      </c>
      <c r="Q86" s="1" t="s">
        <v>35</v>
      </c>
      <c r="R86" s="1" t="s">
        <v>36</v>
      </c>
      <c r="S86" s="5">
        <v>587520</v>
      </c>
      <c r="T86" s="1" t="s">
        <v>312</v>
      </c>
      <c r="U86" s="1" t="s">
        <v>38</v>
      </c>
      <c r="V86" s="3">
        <v>46192.386805555601</v>
      </c>
      <c r="W86" s="6">
        <f t="shared" si="2"/>
        <v>26</v>
      </c>
      <c r="X86" s="6" t="str">
        <f t="shared" si="3"/>
        <v>Sim</v>
      </c>
    </row>
    <row r="87" spans="1:24" ht="15" customHeight="1" x14ac:dyDescent="0.3">
      <c r="A87" s="1" t="s">
        <v>158</v>
      </c>
      <c r="B87" s="1" t="s">
        <v>25</v>
      </c>
      <c r="C87" s="1" t="s">
        <v>40</v>
      </c>
      <c r="D87" s="1" t="s">
        <v>5</v>
      </c>
      <c r="E87" s="3">
        <v>46186.684722222199</v>
      </c>
      <c r="F87" s="3">
        <v>46188.630555555603</v>
      </c>
      <c r="G87" s="3">
        <v>46188.630555555603</v>
      </c>
      <c r="H87" s="1" t="s">
        <v>42</v>
      </c>
      <c r="I87" s="1" t="s">
        <v>313</v>
      </c>
      <c r="J87" s="1" t="s">
        <v>314</v>
      </c>
      <c r="K87" s="1" t="s">
        <v>30</v>
      </c>
      <c r="L87" s="1" t="s">
        <v>31</v>
      </c>
      <c r="M87" s="1" t="s">
        <v>143</v>
      </c>
      <c r="N87" s="4">
        <v>36</v>
      </c>
      <c r="O87" s="1" t="s">
        <v>46</v>
      </c>
      <c r="Q87" s="1" t="s">
        <v>145</v>
      </c>
      <c r="R87" s="1" t="s">
        <v>36</v>
      </c>
      <c r="S87" s="5">
        <v>900</v>
      </c>
      <c r="T87" s="1" t="s">
        <v>146</v>
      </c>
      <c r="U87" s="1" t="s">
        <v>38</v>
      </c>
      <c r="V87" s="3">
        <v>46186.695138888899</v>
      </c>
      <c r="W87" s="6">
        <f t="shared" si="2"/>
        <v>1</v>
      </c>
      <c r="X87" s="6" t="str">
        <f t="shared" si="3"/>
        <v>Não</v>
      </c>
    </row>
    <row r="88" spans="1:24" ht="15" customHeight="1" x14ac:dyDescent="0.3">
      <c r="A88" s="1" t="s">
        <v>310</v>
      </c>
      <c r="B88" s="1" t="s">
        <v>25</v>
      </c>
      <c r="C88" s="1" t="s">
        <v>40</v>
      </c>
      <c r="D88" s="1" t="s">
        <v>5</v>
      </c>
      <c r="E88" s="3">
        <v>46185.588194444397</v>
      </c>
      <c r="F88" s="3">
        <v>46198.375</v>
      </c>
      <c r="G88" s="3">
        <v>46198.375</v>
      </c>
      <c r="H88" s="1" t="s">
        <v>42</v>
      </c>
      <c r="I88" s="1" t="s">
        <v>315</v>
      </c>
      <c r="J88" s="1" t="s">
        <v>59</v>
      </c>
      <c r="K88" s="1" t="s">
        <v>51</v>
      </c>
      <c r="L88" s="1" t="s">
        <v>31</v>
      </c>
      <c r="M88" s="1" t="s">
        <v>62</v>
      </c>
      <c r="N88" s="4">
        <v>36</v>
      </c>
      <c r="O88" s="1" t="s">
        <v>246</v>
      </c>
      <c r="P88" s="1" t="s">
        <v>47</v>
      </c>
      <c r="Q88" s="1" t="s">
        <v>35</v>
      </c>
      <c r="R88" s="1" t="s">
        <v>36</v>
      </c>
      <c r="S88" s="5">
        <v>496860</v>
      </c>
      <c r="T88" s="1" t="s">
        <v>316</v>
      </c>
      <c r="U88" s="1" t="s">
        <v>38</v>
      </c>
      <c r="V88" s="3">
        <v>46191.338888888902</v>
      </c>
      <c r="W88" s="6">
        <f t="shared" si="2"/>
        <v>26</v>
      </c>
      <c r="X88" s="6" t="str">
        <f t="shared" si="3"/>
        <v>Sim</v>
      </c>
    </row>
    <row r="89" spans="1:24" ht="15" customHeight="1" x14ac:dyDescent="0.3">
      <c r="A89" s="1" t="s">
        <v>317</v>
      </c>
      <c r="B89" s="1" t="s">
        <v>25</v>
      </c>
      <c r="C89" s="1" t="s">
        <v>40</v>
      </c>
      <c r="D89" s="1" t="s">
        <v>5</v>
      </c>
      <c r="E89" s="3">
        <v>46189.418055555601</v>
      </c>
      <c r="F89" s="3">
        <v>46203.375</v>
      </c>
      <c r="G89" s="3">
        <v>46203.375</v>
      </c>
      <c r="H89" s="1" t="s">
        <v>42</v>
      </c>
      <c r="I89" s="1" t="s">
        <v>318</v>
      </c>
      <c r="J89" s="1" t="s">
        <v>305</v>
      </c>
      <c r="K89" s="1" t="s">
        <v>51</v>
      </c>
      <c r="L89" s="1" t="s">
        <v>31</v>
      </c>
      <c r="M89" s="1" t="s">
        <v>62</v>
      </c>
      <c r="N89" s="4">
        <v>36</v>
      </c>
      <c r="O89" s="1" t="s">
        <v>46</v>
      </c>
      <c r="P89" s="1" t="s">
        <v>47</v>
      </c>
      <c r="Q89" s="1" t="s">
        <v>145</v>
      </c>
      <c r="R89" s="1" t="s">
        <v>36</v>
      </c>
      <c r="S89" s="5">
        <v>597960</v>
      </c>
      <c r="T89" s="1" t="s">
        <v>319</v>
      </c>
      <c r="U89" s="1" t="s">
        <v>38</v>
      </c>
      <c r="V89" s="3">
        <v>46196.338888888902</v>
      </c>
      <c r="W89" s="6">
        <f t="shared" si="2"/>
        <v>2</v>
      </c>
      <c r="X89" s="6" t="str">
        <f t="shared" si="3"/>
        <v>Sim</v>
      </c>
    </row>
    <row r="90" spans="1:24" ht="15" customHeight="1" x14ac:dyDescent="0.3">
      <c r="A90" s="1" t="s">
        <v>320</v>
      </c>
      <c r="B90" s="1" t="s">
        <v>25</v>
      </c>
      <c r="C90" s="1" t="s">
        <v>40</v>
      </c>
      <c r="D90" s="1" t="s">
        <v>5</v>
      </c>
      <c r="E90" s="3">
        <v>46190.7097222222</v>
      </c>
      <c r="F90" s="3">
        <v>46198.5</v>
      </c>
      <c r="G90" s="3">
        <v>46198.5</v>
      </c>
      <c r="H90" s="1" t="s">
        <v>42</v>
      </c>
      <c r="I90" s="1" t="s">
        <v>321</v>
      </c>
      <c r="J90" s="1" t="s">
        <v>123</v>
      </c>
      <c r="K90" s="1" t="s">
        <v>51</v>
      </c>
      <c r="L90" s="1" t="s">
        <v>31</v>
      </c>
      <c r="M90" s="1" t="s">
        <v>62</v>
      </c>
      <c r="N90" s="4">
        <v>36</v>
      </c>
      <c r="O90" s="1" t="s">
        <v>46</v>
      </c>
      <c r="P90" s="1" t="s">
        <v>47</v>
      </c>
      <c r="Q90" s="1" t="s">
        <v>35</v>
      </c>
      <c r="R90" s="1" t="s">
        <v>36</v>
      </c>
      <c r="S90" s="5">
        <v>65040</v>
      </c>
      <c r="T90" s="1" t="s">
        <v>322</v>
      </c>
      <c r="U90" s="1" t="s">
        <v>38</v>
      </c>
      <c r="V90" s="3">
        <v>46191.462500000001</v>
      </c>
      <c r="W90" s="6">
        <f t="shared" si="2"/>
        <v>7</v>
      </c>
      <c r="X90" s="6" t="str">
        <f t="shared" si="3"/>
        <v>Sim</v>
      </c>
    </row>
    <row r="91" spans="1:24" ht="15" customHeight="1" x14ac:dyDescent="0.3">
      <c r="A91" s="1" t="s">
        <v>323</v>
      </c>
      <c r="B91" s="1" t="s">
        <v>25</v>
      </c>
      <c r="C91" s="1" t="s">
        <v>40</v>
      </c>
      <c r="D91" s="1" t="s">
        <v>5</v>
      </c>
      <c r="E91" s="3">
        <v>46206.379861111098</v>
      </c>
      <c r="F91" s="3">
        <v>46216.416666666701</v>
      </c>
      <c r="G91" s="3">
        <v>46216.416666666701</v>
      </c>
      <c r="H91" s="1" t="s">
        <v>42</v>
      </c>
      <c r="I91" s="1" t="s">
        <v>324</v>
      </c>
      <c r="J91" s="1" t="s">
        <v>101</v>
      </c>
      <c r="K91" s="1" t="s">
        <v>30</v>
      </c>
      <c r="L91" s="1" t="s">
        <v>31</v>
      </c>
      <c r="M91" s="1" t="s">
        <v>62</v>
      </c>
      <c r="N91" s="4">
        <v>36</v>
      </c>
      <c r="O91" s="1" t="s">
        <v>46</v>
      </c>
      <c r="P91" s="1" t="s">
        <v>47</v>
      </c>
      <c r="Q91" s="1" t="s">
        <v>35</v>
      </c>
      <c r="R91" s="1" t="s">
        <v>36</v>
      </c>
      <c r="S91" s="5">
        <v>259560</v>
      </c>
      <c r="T91" s="1" t="s">
        <v>325</v>
      </c>
      <c r="U91" s="1" t="s">
        <v>38</v>
      </c>
      <c r="V91" s="3">
        <v>46209.3840277778</v>
      </c>
      <c r="W91" s="6">
        <f t="shared" si="2"/>
        <v>6</v>
      </c>
      <c r="X91" s="6" t="str">
        <f t="shared" si="3"/>
        <v>Sim</v>
      </c>
    </row>
    <row r="92" spans="1:24" ht="15" customHeight="1" x14ac:dyDescent="0.3">
      <c r="A92" s="1" t="s">
        <v>326</v>
      </c>
      <c r="B92" s="1" t="s">
        <v>25</v>
      </c>
      <c r="C92" s="1" t="s">
        <v>40</v>
      </c>
      <c r="D92" s="1" t="s">
        <v>5</v>
      </c>
      <c r="E92" s="3">
        <v>46217.3972222222</v>
      </c>
      <c r="F92" s="3">
        <v>46227.833333333299</v>
      </c>
      <c r="G92" s="3">
        <v>46227.833333333299</v>
      </c>
      <c r="H92" s="1" t="s">
        <v>42</v>
      </c>
      <c r="I92" s="1" t="s">
        <v>327</v>
      </c>
      <c r="J92" s="1" t="s">
        <v>328</v>
      </c>
      <c r="K92" s="1" t="s">
        <v>30</v>
      </c>
      <c r="L92" s="1" t="s">
        <v>31</v>
      </c>
      <c r="M92" s="1" t="s">
        <v>62</v>
      </c>
      <c r="N92" s="4">
        <v>36</v>
      </c>
      <c r="O92" s="1" t="s">
        <v>46</v>
      </c>
      <c r="P92" s="1" t="s">
        <v>47</v>
      </c>
      <c r="Q92" s="1" t="s">
        <v>35</v>
      </c>
      <c r="R92" s="1" t="s">
        <v>36</v>
      </c>
      <c r="S92" s="5">
        <v>293700</v>
      </c>
      <c r="T92" s="1" t="s">
        <v>329</v>
      </c>
      <c r="U92" s="1" t="s">
        <v>38</v>
      </c>
      <c r="V92" s="3">
        <v>46220.796527777798</v>
      </c>
      <c r="W92" s="6">
        <f t="shared" si="2"/>
        <v>1</v>
      </c>
      <c r="X92" s="6" t="str">
        <f t="shared" si="3"/>
        <v>Não</v>
      </c>
    </row>
    <row r="93" spans="1:24" ht="15" customHeight="1" x14ac:dyDescent="0.3">
      <c r="A93" s="1" t="s">
        <v>330</v>
      </c>
      <c r="B93" s="1" t="s">
        <v>25</v>
      </c>
      <c r="C93" s="1" t="s">
        <v>40</v>
      </c>
      <c r="D93" s="1" t="s">
        <v>5</v>
      </c>
      <c r="E93" s="3">
        <v>46197.380555555603</v>
      </c>
      <c r="F93" s="3">
        <v>46206.709027777797</v>
      </c>
      <c r="G93" s="3">
        <v>46206.709027777797</v>
      </c>
      <c r="H93" s="1" t="s">
        <v>42</v>
      </c>
      <c r="I93" s="1" t="s">
        <v>331</v>
      </c>
      <c r="J93" s="1" t="s">
        <v>44</v>
      </c>
      <c r="K93" s="1" t="s">
        <v>30</v>
      </c>
      <c r="L93" s="1" t="s">
        <v>31</v>
      </c>
      <c r="M93" s="1" t="s">
        <v>62</v>
      </c>
      <c r="N93" s="4">
        <v>36</v>
      </c>
      <c r="O93" s="1" t="s">
        <v>46</v>
      </c>
      <c r="P93" s="1" t="s">
        <v>47</v>
      </c>
      <c r="Q93" s="1" t="s">
        <v>35</v>
      </c>
      <c r="R93" s="1" t="s">
        <v>36</v>
      </c>
      <c r="S93" s="5">
        <v>198060</v>
      </c>
      <c r="T93" s="1" t="s">
        <v>332</v>
      </c>
      <c r="U93" s="1" t="s">
        <v>38</v>
      </c>
      <c r="V93" s="3">
        <v>46199.672916666699</v>
      </c>
      <c r="W93" s="6">
        <f t="shared" si="2"/>
        <v>9</v>
      </c>
      <c r="X93" s="6" t="str">
        <f t="shared" si="3"/>
        <v>Sim</v>
      </c>
    </row>
    <row r="94" spans="1:24" ht="15" customHeight="1" x14ac:dyDescent="0.3">
      <c r="A94" s="1" t="s">
        <v>333</v>
      </c>
      <c r="B94" s="1" t="s">
        <v>25</v>
      </c>
      <c r="C94" s="1" t="s">
        <v>40</v>
      </c>
      <c r="D94" s="1" t="s">
        <v>5</v>
      </c>
      <c r="E94" s="3">
        <v>46191.378472222197</v>
      </c>
      <c r="F94" s="3">
        <v>46203.458333333299</v>
      </c>
      <c r="G94" s="3">
        <v>46203.458333333299</v>
      </c>
      <c r="H94" s="1" t="s">
        <v>42</v>
      </c>
      <c r="I94" s="1" t="s">
        <v>334</v>
      </c>
      <c r="J94" s="1" t="s">
        <v>308</v>
      </c>
      <c r="K94" s="1" t="s">
        <v>30</v>
      </c>
      <c r="L94" s="1" t="s">
        <v>31</v>
      </c>
      <c r="M94" s="1" t="s">
        <v>45</v>
      </c>
      <c r="N94" s="4">
        <v>36</v>
      </c>
      <c r="O94" s="1" t="s">
        <v>46</v>
      </c>
      <c r="P94" s="1" t="s">
        <v>47</v>
      </c>
      <c r="Q94" s="1" t="s">
        <v>68</v>
      </c>
      <c r="R94" s="1" t="s">
        <v>36</v>
      </c>
      <c r="S94" s="5">
        <v>437760</v>
      </c>
      <c r="T94" s="1" t="s">
        <v>335</v>
      </c>
      <c r="U94" s="1" t="s">
        <v>38</v>
      </c>
      <c r="V94" s="3">
        <v>46196.445138888899</v>
      </c>
      <c r="W94" s="6">
        <f t="shared" si="2"/>
        <v>3</v>
      </c>
      <c r="X94" s="6" t="str">
        <f t="shared" si="3"/>
        <v>Sim</v>
      </c>
    </row>
    <row r="95" spans="1:24" ht="15" customHeight="1" x14ac:dyDescent="0.3">
      <c r="A95" s="1" t="s">
        <v>336</v>
      </c>
      <c r="B95" s="1" t="s">
        <v>25</v>
      </c>
      <c r="C95" s="1" t="s">
        <v>40</v>
      </c>
      <c r="D95" s="1" t="s">
        <v>5</v>
      </c>
      <c r="E95" s="3">
        <v>46195.502083333296</v>
      </c>
      <c r="F95" s="3">
        <v>46203.5</v>
      </c>
      <c r="G95" s="3">
        <v>46203.5</v>
      </c>
      <c r="H95" s="1" t="s">
        <v>42</v>
      </c>
      <c r="I95" s="1" t="s">
        <v>337</v>
      </c>
      <c r="J95" s="1" t="s">
        <v>54</v>
      </c>
      <c r="K95" s="1" t="s">
        <v>30</v>
      </c>
      <c r="L95" s="1" t="s">
        <v>31</v>
      </c>
      <c r="M95" s="1" t="s">
        <v>62</v>
      </c>
      <c r="N95" s="4">
        <v>36</v>
      </c>
      <c r="O95" s="1" t="s">
        <v>46</v>
      </c>
      <c r="P95" s="1" t="s">
        <v>47</v>
      </c>
      <c r="Q95" s="1" t="s">
        <v>35</v>
      </c>
      <c r="R95" s="1" t="s">
        <v>36</v>
      </c>
      <c r="S95" s="5">
        <v>84900</v>
      </c>
      <c r="T95" s="1" t="s">
        <v>338</v>
      </c>
      <c r="U95" s="1" t="s">
        <v>38</v>
      </c>
      <c r="V95" s="3">
        <v>46196.484722222202</v>
      </c>
      <c r="W95" s="6">
        <f t="shared" si="2"/>
        <v>10</v>
      </c>
      <c r="X95" s="6" t="str">
        <f t="shared" si="3"/>
        <v>Sim</v>
      </c>
    </row>
    <row r="96" spans="1:24" ht="15" customHeight="1" x14ac:dyDescent="0.3">
      <c r="A96" s="1" t="s">
        <v>339</v>
      </c>
      <c r="B96" s="1" t="s">
        <v>25</v>
      </c>
      <c r="C96" s="1" t="s">
        <v>40</v>
      </c>
      <c r="D96" s="1" t="s">
        <v>5</v>
      </c>
      <c r="E96" s="3">
        <v>46211.472222222197</v>
      </c>
      <c r="F96" s="3">
        <v>46219.416666666701</v>
      </c>
      <c r="G96" s="3">
        <v>46219.416666666701</v>
      </c>
      <c r="H96" s="1" t="s">
        <v>42</v>
      </c>
      <c r="I96" s="1" t="s">
        <v>340</v>
      </c>
      <c r="J96" s="1" t="s">
        <v>341</v>
      </c>
      <c r="K96" s="1" t="s">
        <v>30</v>
      </c>
      <c r="L96" s="1" t="s">
        <v>31</v>
      </c>
      <c r="M96" s="1" t="s">
        <v>62</v>
      </c>
      <c r="N96" s="4">
        <v>36</v>
      </c>
      <c r="O96" s="1" t="s">
        <v>46</v>
      </c>
      <c r="P96" s="1" t="s">
        <v>67</v>
      </c>
      <c r="Q96" s="1" t="s">
        <v>35</v>
      </c>
      <c r="R96" s="1" t="s">
        <v>36</v>
      </c>
      <c r="S96" s="5">
        <v>78240</v>
      </c>
      <c r="T96" s="1" t="s">
        <v>342</v>
      </c>
      <c r="U96" s="1" t="s">
        <v>38</v>
      </c>
      <c r="V96" s="3">
        <v>46212.377777777801</v>
      </c>
      <c r="W96" s="6">
        <f t="shared" si="2"/>
        <v>1</v>
      </c>
      <c r="X96" s="6" t="str">
        <f t="shared" si="3"/>
        <v>Não</v>
      </c>
    </row>
    <row r="97" spans="1:24" ht="15" customHeight="1" x14ac:dyDescent="0.3">
      <c r="A97" s="1" t="s">
        <v>343</v>
      </c>
      <c r="B97" s="1" t="s">
        <v>25</v>
      </c>
      <c r="C97" s="1" t="s">
        <v>40</v>
      </c>
      <c r="D97" s="1" t="s">
        <v>5</v>
      </c>
      <c r="E97" s="3">
        <v>46217.943055555603</v>
      </c>
      <c r="F97" s="3">
        <v>46226.459027777797</v>
      </c>
      <c r="G97" s="3">
        <v>46226.459027777797</v>
      </c>
      <c r="H97" s="1" t="s">
        <v>42</v>
      </c>
      <c r="I97" s="1" t="s">
        <v>344</v>
      </c>
      <c r="J97" s="1" t="s">
        <v>162</v>
      </c>
      <c r="K97" s="1" t="s">
        <v>51</v>
      </c>
      <c r="L97" s="1" t="s">
        <v>31</v>
      </c>
      <c r="M97" s="1" t="s">
        <v>62</v>
      </c>
      <c r="N97" s="4">
        <v>36</v>
      </c>
      <c r="O97" s="1" t="s">
        <v>46</v>
      </c>
      <c r="P97" s="1" t="s">
        <v>47</v>
      </c>
      <c r="Q97" s="1" t="s">
        <v>145</v>
      </c>
      <c r="R97" s="1" t="s">
        <v>36</v>
      </c>
      <c r="S97" s="5">
        <v>130380</v>
      </c>
      <c r="T97" s="1" t="s">
        <v>345</v>
      </c>
      <c r="U97" s="1" t="s">
        <v>38</v>
      </c>
      <c r="V97" s="3">
        <v>46219.452083333301</v>
      </c>
      <c r="W97" s="6">
        <f t="shared" si="2"/>
        <v>2</v>
      </c>
      <c r="X97" s="6" t="str">
        <f t="shared" si="3"/>
        <v>Sim</v>
      </c>
    </row>
    <row r="98" spans="1:24" ht="15" customHeight="1" x14ac:dyDescent="0.3">
      <c r="A98" s="1" t="s">
        <v>346</v>
      </c>
      <c r="B98" s="1" t="s">
        <v>25</v>
      </c>
      <c r="C98" s="1" t="s">
        <v>40</v>
      </c>
      <c r="D98" s="1" t="s">
        <v>5</v>
      </c>
      <c r="E98" s="3">
        <v>46227.519444444399</v>
      </c>
      <c r="F98" s="3">
        <v>46237.5</v>
      </c>
      <c r="G98" s="3">
        <v>46237.5</v>
      </c>
      <c r="H98" s="1" t="s">
        <v>42</v>
      </c>
      <c r="I98" s="1" t="s">
        <v>347</v>
      </c>
      <c r="J98" s="1" t="s">
        <v>59</v>
      </c>
      <c r="K98" s="1" t="s">
        <v>51</v>
      </c>
      <c r="L98" s="1" t="s">
        <v>31</v>
      </c>
      <c r="M98" s="1" t="s">
        <v>45</v>
      </c>
      <c r="N98" s="4">
        <v>36</v>
      </c>
      <c r="O98" s="1" t="s">
        <v>231</v>
      </c>
      <c r="P98" s="1" t="s">
        <v>47</v>
      </c>
      <c r="Q98" s="1" t="s">
        <v>88</v>
      </c>
      <c r="R98" s="1" t="s">
        <v>36</v>
      </c>
      <c r="S98" s="5">
        <v>255840</v>
      </c>
      <c r="T98" s="1" t="s">
        <v>348</v>
      </c>
      <c r="U98" s="1" t="s">
        <v>38</v>
      </c>
      <c r="V98" s="3">
        <v>46230.480555555601</v>
      </c>
      <c r="W98" s="6">
        <f t="shared" si="2"/>
        <v>26</v>
      </c>
      <c r="X98" s="6" t="str">
        <f t="shared" si="3"/>
        <v>Sim</v>
      </c>
    </row>
    <row r="99" spans="1:24" ht="15" customHeight="1" x14ac:dyDescent="0.3">
      <c r="A99" s="1" t="s">
        <v>349</v>
      </c>
      <c r="B99" s="1" t="s">
        <v>25</v>
      </c>
      <c r="C99" s="1" t="s">
        <v>40</v>
      </c>
      <c r="D99" s="1" t="s">
        <v>5</v>
      </c>
      <c r="E99" s="3">
        <v>46226.688888888901</v>
      </c>
      <c r="F99" s="3">
        <v>46237.5</v>
      </c>
      <c r="G99" s="3">
        <v>46237.5</v>
      </c>
      <c r="H99" s="1" t="s">
        <v>42</v>
      </c>
      <c r="I99" s="1" t="s">
        <v>350</v>
      </c>
      <c r="J99" s="1" t="s">
        <v>351</v>
      </c>
      <c r="K99" s="1" t="s">
        <v>51</v>
      </c>
      <c r="L99" s="1" t="s">
        <v>31</v>
      </c>
      <c r="M99" s="1" t="s">
        <v>45</v>
      </c>
      <c r="N99" s="4">
        <v>36</v>
      </c>
      <c r="O99" s="1" t="s">
        <v>246</v>
      </c>
      <c r="P99" s="1" t="s">
        <v>47</v>
      </c>
      <c r="Q99" s="1" t="s">
        <v>35</v>
      </c>
      <c r="R99" s="1" t="s">
        <v>36</v>
      </c>
      <c r="S99" s="5">
        <v>327300</v>
      </c>
      <c r="T99" s="1" t="s">
        <v>352</v>
      </c>
      <c r="U99" s="1" t="s">
        <v>38</v>
      </c>
      <c r="V99" s="3">
        <v>46230.477083333302</v>
      </c>
      <c r="W99" s="6">
        <f t="shared" si="2"/>
        <v>1</v>
      </c>
      <c r="X99" s="6" t="str">
        <f t="shared" si="3"/>
        <v>Não</v>
      </c>
    </row>
    <row r="100" spans="1:24" ht="15" customHeight="1" x14ac:dyDescent="0.3">
      <c r="A100" s="1" t="s">
        <v>353</v>
      </c>
      <c r="B100" s="1" t="s">
        <v>25</v>
      </c>
      <c r="C100" s="1" t="s">
        <v>40</v>
      </c>
      <c r="D100" s="1" t="s">
        <v>5</v>
      </c>
      <c r="E100" s="3">
        <v>46227.489583333299</v>
      </c>
      <c r="F100" s="3">
        <v>46238.667361111096</v>
      </c>
      <c r="G100" s="3">
        <v>46238.667361111096</v>
      </c>
      <c r="H100" s="1" t="s">
        <v>42</v>
      </c>
      <c r="I100" s="1" t="s">
        <v>354</v>
      </c>
      <c r="J100" s="1" t="s">
        <v>235</v>
      </c>
      <c r="K100" s="1" t="s">
        <v>30</v>
      </c>
      <c r="L100" s="1" t="s">
        <v>31</v>
      </c>
      <c r="M100" s="1" t="s">
        <v>143</v>
      </c>
      <c r="N100" s="4">
        <v>36</v>
      </c>
      <c r="O100" s="1" t="s">
        <v>46</v>
      </c>
      <c r="P100" s="1" t="s">
        <v>47</v>
      </c>
      <c r="Q100" s="1" t="s">
        <v>35</v>
      </c>
      <c r="R100" s="1" t="s">
        <v>36</v>
      </c>
      <c r="S100" s="5">
        <v>360180</v>
      </c>
      <c r="T100" s="1" t="s">
        <v>355</v>
      </c>
      <c r="U100" s="1" t="s">
        <v>38</v>
      </c>
      <c r="V100" s="3">
        <v>46231.658333333296</v>
      </c>
      <c r="W100" s="6">
        <f t="shared" si="2"/>
        <v>6</v>
      </c>
      <c r="X100" s="6" t="str">
        <f t="shared" si="3"/>
        <v>Sim</v>
      </c>
    </row>
    <row r="101" spans="1:24" ht="15" customHeight="1" x14ac:dyDescent="0.3">
      <c r="A101" s="1" t="s">
        <v>356</v>
      </c>
      <c r="B101" s="1" t="s">
        <v>25</v>
      </c>
      <c r="C101" s="1" t="s">
        <v>40</v>
      </c>
      <c r="D101" s="1" t="s">
        <v>5</v>
      </c>
      <c r="E101" s="3">
        <v>46198.380555555603</v>
      </c>
      <c r="F101" s="3">
        <v>46205.625</v>
      </c>
      <c r="G101" s="3">
        <v>46205.625</v>
      </c>
      <c r="H101" s="1" t="s">
        <v>42</v>
      </c>
      <c r="I101" s="1" t="s">
        <v>357</v>
      </c>
      <c r="J101" s="1" t="s">
        <v>44</v>
      </c>
      <c r="K101" s="1" t="s">
        <v>30</v>
      </c>
      <c r="L101" s="1" t="s">
        <v>31</v>
      </c>
      <c r="M101" s="1" t="s">
        <v>62</v>
      </c>
      <c r="N101" s="4">
        <v>36</v>
      </c>
      <c r="O101" s="1" t="s">
        <v>46</v>
      </c>
      <c r="P101" s="1" t="s">
        <v>47</v>
      </c>
      <c r="Q101" s="1" t="s">
        <v>145</v>
      </c>
      <c r="R101" s="1" t="s">
        <v>36</v>
      </c>
      <c r="S101" s="5">
        <v>17820</v>
      </c>
      <c r="T101" s="1" t="s">
        <v>358</v>
      </c>
      <c r="U101" s="1" t="s">
        <v>38</v>
      </c>
      <c r="V101" s="3">
        <v>46198.586805555598</v>
      </c>
      <c r="W101" s="6">
        <f t="shared" si="2"/>
        <v>9</v>
      </c>
      <c r="X101" s="6" t="str">
        <f t="shared" si="3"/>
        <v>Sim</v>
      </c>
    </row>
    <row r="102" spans="1:24" ht="15" customHeight="1" x14ac:dyDescent="0.3">
      <c r="A102" s="1" t="s">
        <v>359</v>
      </c>
      <c r="B102" s="1" t="s">
        <v>25</v>
      </c>
      <c r="C102" s="1" t="s">
        <v>40</v>
      </c>
      <c r="D102" s="1" t="s">
        <v>5</v>
      </c>
      <c r="E102" s="3">
        <v>46182.709027777797</v>
      </c>
      <c r="F102" s="3">
        <v>46204.625</v>
      </c>
      <c r="G102" s="3">
        <v>46204.625</v>
      </c>
      <c r="H102" s="1" t="s">
        <v>42</v>
      </c>
      <c r="I102" s="1" t="s">
        <v>360</v>
      </c>
      <c r="J102" s="1" t="s">
        <v>308</v>
      </c>
      <c r="K102" s="1" t="s">
        <v>30</v>
      </c>
      <c r="L102" s="1" t="s">
        <v>31</v>
      </c>
      <c r="M102" s="1" t="s">
        <v>62</v>
      </c>
      <c r="N102" s="4">
        <v>36</v>
      </c>
      <c r="O102" s="1" t="s">
        <v>46</v>
      </c>
      <c r="P102" s="1" t="s">
        <v>47</v>
      </c>
      <c r="Q102" s="1" t="s">
        <v>35</v>
      </c>
      <c r="R102" s="1" t="s">
        <v>36</v>
      </c>
      <c r="S102" s="5">
        <v>1287720</v>
      </c>
      <c r="T102" s="1" t="s">
        <v>361</v>
      </c>
      <c r="U102" s="1" t="s">
        <v>38</v>
      </c>
      <c r="V102" s="3">
        <v>46197.613194444399</v>
      </c>
      <c r="W102" s="6">
        <f t="shared" si="2"/>
        <v>3</v>
      </c>
      <c r="X102" s="6" t="str">
        <f t="shared" si="3"/>
        <v>Sim</v>
      </c>
    </row>
    <row r="103" spans="1:24" ht="15" customHeight="1" x14ac:dyDescent="0.3">
      <c r="A103" s="1" t="s">
        <v>362</v>
      </c>
      <c r="B103" s="1" t="s">
        <v>25</v>
      </c>
      <c r="C103" s="1" t="s">
        <v>40</v>
      </c>
      <c r="D103" s="1" t="s">
        <v>5</v>
      </c>
      <c r="E103" s="3">
        <v>46198.350694444503</v>
      </c>
      <c r="F103" s="3">
        <v>46206.375</v>
      </c>
      <c r="G103" s="3">
        <v>46206.375</v>
      </c>
      <c r="H103" s="1" t="s">
        <v>42</v>
      </c>
      <c r="I103" s="1" t="s">
        <v>363</v>
      </c>
      <c r="J103" s="1" t="s">
        <v>235</v>
      </c>
      <c r="K103" s="1" t="s">
        <v>30</v>
      </c>
      <c r="L103" s="1" t="s">
        <v>31</v>
      </c>
      <c r="M103" s="1" t="s">
        <v>62</v>
      </c>
      <c r="N103" s="4">
        <v>36</v>
      </c>
      <c r="O103" s="1" t="s">
        <v>87</v>
      </c>
      <c r="P103" s="1" t="s">
        <v>47</v>
      </c>
      <c r="Q103" s="1" t="s">
        <v>35</v>
      </c>
      <c r="R103" s="1" t="s">
        <v>36</v>
      </c>
      <c r="S103" s="5">
        <v>87120</v>
      </c>
      <c r="T103" s="1" t="s">
        <v>364</v>
      </c>
      <c r="U103" s="1" t="s">
        <v>38</v>
      </c>
      <c r="V103" s="3">
        <v>46199.359027777798</v>
      </c>
      <c r="W103" s="6">
        <f t="shared" si="2"/>
        <v>6</v>
      </c>
      <c r="X103" s="6" t="str">
        <f t="shared" si="3"/>
        <v>Sim</v>
      </c>
    </row>
    <row r="104" spans="1:24" ht="15" customHeight="1" x14ac:dyDescent="0.3">
      <c r="A104" s="1" t="s">
        <v>365</v>
      </c>
      <c r="B104" s="1" t="s">
        <v>25</v>
      </c>
      <c r="C104" s="1" t="s">
        <v>40</v>
      </c>
      <c r="D104" s="1" t="s">
        <v>5</v>
      </c>
      <c r="E104" s="3">
        <v>46253.453472222202</v>
      </c>
      <c r="F104" s="3">
        <v>46267.833333333299</v>
      </c>
      <c r="G104" s="3">
        <v>46267.833333333299</v>
      </c>
      <c r="H104" s="1" t="s">
        <v>42</v>
      </c>
      <c r="I104" s="1" t="s">
        <v>366</v>
      </c>
      <c r="J104" s="1" t="s">
        <v>101</v>
      </c>
      <c r="K104" s="1" t="s">
        <v>30</v>
      </c>
      <c r="L104" s="1" t="s">
        <v>31</v>
      </c>
      <c r="M104" s="1" t="s">
        <v>62</v>
      </c>
      <c r="N104" s="4">
        <v>36</v>
      </c>
      <c r="O104" s="1" t="s">
        <v>46</v>
      </c>
      <c r="P104" s="1" t="s">
        <v>47</v>
      </c>
      <c r="Q104" s="1" t="s">
        <v>35</v>
      </c>
      <c r="R104" s="1" t="s">
        <v>36</v>
      </c>
      <c r="S104" s="5">
        <v>634680</v>
      </c>
      <c r="T104" s="1" t="s">
        <v>367</v>
      </c>
      <c r="U104" s="1" t="s">
        <v>38</v>
      </c>
      <c r="V104" s="3">
        <v>46260.7993055556</v>
      </c>
      <c r="W104" s="6">
        <f t="shared" si="2"/>
        <v>6</v>
      </c>
      <c r="X104" s="6" t="str">
        <f t="shared" si="3"/>
        <v>Sim</v>
      </c>
    </row>
    <row r="105" spans="1:24" ht="15" customHeight="1" x14ac:dyDescent="0.3">
      <c r="A105" s="1" t="s">
        <v>368</v>
      </c>
      <c r="B105" s="1" t="s">
        <v>25</v>
      </c>
      <c r="C105" s="1" t="s">
        <v>40</v>
      </c>
      <c r="D105" s="1" t="s">
        <v>5</v>
      </c>
      <c r="E105" s="3">
        <v>46258.558333333298</v>
      </c>
      <c r="F105" s="3">
        <v>46266.584027777797</v>
      </c>
      <c r="G105" s="3">
        <v>46266.584027777797</v>
      </c>
      <c r="H105" s="1" t="s">
        <v>42</v>
      </c>
      <c r="I105" s="1" t="s">
        <v>369</v>
      </c>
      <c r="J105" s="1" t="s">
        <v>59</v>
      </c>
      <c r="K105" s="1" t="s">
        <v>51</v>
      </c>
      <c r="L105" s="1" t="s">
        <v>31</v>
      </c>
      <c r="M105" s="1" t="s">
        <v>62</v>
      </c>
      <c r="N105" s="4">
        <v>36</v>
      </c>
      <c r="O105" s="1" t="s">
        <v>46</v>
      </c>
      <c r="P105" s="1" t="s">
        <v>47</v>
      </c>
      <c r="Q105" s="1" t="s">
        <v>35</v>
      </c>
      <c r="R105" s="1" t="s">
        <v>36</v>
      </c>
      <c r="S105" s="5">
        <v>88140</v>
      </c>
      <c r="T105" s="1" t="s">
        <v>370</v>
      </c>
      <c r="U105" s="1" t="s">
        <v>38</v>
      </c>
      <c r="V105" s="3">
        <v>46259.578472222202</v>
      </c>
      <c r="W105" s="6">
        <f t="shared" si="2"/>
        <v>26</v>
      </c>
      <c r="X105" s="6" t="str">
        <f t="shared" si="3"/>
        <v>Sim</v>
      </c>
    </row>
    <row r="106" spans="1:24" ht="15" customHeight="1" x14ac:dyDescent="0.3">
      <c r="A106" s="1" t="s">
        <v>371</v>
      </c>
      <c r="B106" s="1" t="s">
        <v>25</v>
      </c>
      <c r="C106" s="1" t="s">
        <v>40</v>
      </c>
      <c r="D106" s="1" t="s">
        <v>5</v>
      </c>
      <c r="E106" s="3">
        <v>46210.500694444498</v>
      </c>
      <c r="F106" s="3">
        <v>46226.625</v>
      </c>
      <c r="G106" s="3">
        <v>46226.625</v>
      </c>
      <c r="H106" s="1" t="s">
        <v>42</v>
      </c>
      <c r="I106" s="1" t="s">
        <v>372</v>
      </c>
      <c r="J106" s="1" t="s">
        <v>123</v>
      </c>
      <c r="K106" s="1" t="s">
        <v>30</v>
      </c>
      <c r="L106" s="1" t="s">
        <v>31</v>
      </c>
      <c r="M106" s="1" t="s">
        <v>62</v>
      </c>
      <c r="N106" s="4">
        <v>36</v>
      </c>
      <c r="O106" s="1" t="s">
        <v>46</v>
      </c>
      <c r="P106" s="1" t="s">
        <v>47</v>
      </c>
      <c r="Q106" s="1" t="s">
        <v>35</v>
      </c>
      <c r="R106" s="1" t="s">
        <v>36</v>
      </c>
      <c r="S106" s="5">
        <v>786240</v>
      </c>
      <c r="T106" s="1" t="s">
        <v>373</v>
      </c>
      <c r="U106" s="1" t="s">
        <v>38</v>
      </c>
      <c r="V106" s="3">
        <v>46219.600694444503</v>
      </c>
      <c r="W106" s="6">
        <f t="shared" si="2"/>
        <v>7</v>
      </c>
      <c r="X106" s="6" t="str">
        <f t="shared" si="3"/>
        <v>Sim</v>
      </c>
    </row>
    <row r="107" spans="1:24" ht="15" customHeight="1" x14ac:dyDescent="0.3">
      <c r="A107" s="1" t="s">
        <v>374</v>
      </c>
      <c r="B107" s="1" t="s">
        <v>25</v>
      </c>
      <c r="C107" s="1" t="s">
        <v>40</v>
      </c>
      <c r="D107" s="1" t="s">
        <v>5</v>
      </c>
      <c r="E107" s="3">
        <v>46219.381249999999</v>
      </c>
      <c r="F107" s="3">
        <v>46230.709027777797</v>
      </c>
      <c r="G107" s="3">
        <v>46230.709027777797</v>
      </c>
      <c r="H107" s="1" t="s">
        <v>42</v>
      </c>
      <c r="I107" s="1" t="s">
        <v>375</v>
      </c>
      <c r="J107" s="1" t="s">
        <v>59</v>
      </c>
      <c r="K107" s="1" t="s">
        <v>30</v>
      </c>
      <c r="L107" s="1" t="s">
        <v>31</v>
      </c>
      <c r="M107" s="1" t="s">
        <v>62</v>
      </c>
      <c r="N107" s="4">
        <v>36</v>
      </c>
      <c r="O107" s="1" t="s">
        <v>46</v>
      </c>
      <c r="P107" s="1" t="s">
        <v>47</v>
      </c>
      <c r="Q107" s="1" t="s">
        <v>35</v>
      </c>
      <c r="R107" s="1" t="s">
        <v>36</v>
      </c>
      <c r="S107" s="5">
        <v>372960</v>
      </c>
      <c r="T107" s="1" t="s">
        <v>376</v>
      </c>
      <c r="U107" s="1" t="s">
        <v>38</v>
      </c>
      <c r="V107" s="3">
        <v>46223.697916666701</v>
      </c>
      <c r="W107" s="6">
        <f t="shared" si="2"/>
        <v>26</v>
      </c>
      <c r="X107" s="6" t="str">
        <f t="shared" si="3"/>
        <v>Sim</v>
      </c>
    </row>
    <row r="108" spans="1:24" ht="15" customHeight="1" x14ac:dyDescent="0.3">
      <c r="A108" s="1" t="s">
        <v>377</v>
      </c>
      <c r="B108" s="1" t="s">
        <v>25</v>
      </c>
      <c r="C108" s="1" t="s">
        <v>40</v>
      </c>
      <c r="D108" s="1" t="s">
        <v>5</v>
      </c>
      <c r="E108" s="3">
        <v>46213.605555555601</v>
      </c>
      <c r="F108" s="3">
        <v>46226.708333333299</v>
      </c>
      <c r="G108" s="3">
        <v>46226.708333333299</v>
      </c>
      <c r="H108" s="1" t="s">
        <v>42</v>
      </c>
      <c r="I108" s="1" t="s">
        <v>378</v>
      </c>
      <c r="J108" s="1" t="s">
        <v>101</v>
      </c>
      <c r="K108" s="1" t="s">
        <v>51</v>
      </c>
      <c r="L108" s="1" t="s">
        <v>31</v>
      </c>
      <c r="M108" s="1" t="s">
        <v>32</v>
      </c>
      <c r="N108" s="4">
        <v>36</v>
      </c>
      <c r="O108" s="1" t="s">
        <v>46</v>
      </c>
      <c r="P108" s="1" t="s">
        <v>47</v>
      </c>
      <c r="Q108" s="1" t="s">
        <v>35</v>
      </c>
      <c r="R108" s="1" t="s">
        <v>36</v>
      </c>
      <c r="S108" s="5">
        <v>525960</v>
      </c>
      <c r="T108" s="1" t="s">
        <v>379</v>
      </c>
      <c r="U108" s="1" t="s">
        <v>38</v>
      </c>
      <c r="V108" s="3">
        <v>46219.693055555603</v>
      </c>
      <c r="W108" s="6">
        <f t="shared" si="2"/>
        <v>6</v>
      </c>
      <c r="X108" s="6" t="str">
        <f t="shared" si="3"/>
        <v>Sim</v>
      </c>
    </row>
    <row r="109" spans="1:24" ht="15" customHeight="1" x14ac:dyDescent="0.3">
      <c r="A109" s="1" t="s">
        <v>380</v>
      </c>
      <c r="B109" s="1" t="s">
        <v>25</v>
      </c>
      <c r="C109" s="1" t="s">
        <v>40</v>
      </c>
      <c r="D109" s="1" t="s">
        <v>5</v>
      </c>
      <c r="E109" s="3">
        <v>46230.660416666702</v>
      </c>
      <c r="F109" s="3">
        <v>46238.417361111096</v>
      </c>
      <c r="G109" s="3">
        <v>46238.417361111096</v>
      </c>
      <c r="H109" s="1" t="s">
        <v>42</v>
      </c>
      <c r="I109" s="1" t="s">
        <v>381</v>
      </c>
      <c r="J109" s="1" t="s">
        <v>382</v>
      </c>
      <c r="K109" s="1" t="s">
        <v>30</v>
      </c>
      <c r="L109" s="1" t="s">
        <v>31</v>
      </c>
      <c r="M109" s="1" t="s">
        <v>45</v>
      </c>
      <c r="N109" s="4">
        <v>36</v>
      </c>
      <c r="O109" s="1" t="s">
        <v>33</v>
      </c>
      <c r="P109" s="1" t="s">
        <v>47</v>
      </c>
      <c r="Q109" s="1" t="s">
        <v>88</v>
      </c>
      <c r="R109" s="1" t="s">
        <v>36</v>
      </c>
      <c r="S109" s="5">
        <v>64020</v>
      </c>
      <c r="T109" s="1" t="s">
        <v>383</v>
      </c>
      <c r="U109" s="1" t="s">
        <v>38</v>
      </c>
      <c r="V109" s="3">
        <v>46231.401388888902</v>
      </c>
      <c r="W109" s="6">
        <f t="shared" si="2"/>
        <v>1</v>
      </c>
      <c r="X109" s="6" t="str">
        <f t="shared" si="3"/>
        <v>Não</v>
      </c>
    </row>
    <row r="110" spans="1:24" ht="15" customHeight="1" x14ac:dyDescent="0.3">
      <c r="A110" s="1" t="s">
        <v>384</v>
      </c>
      <c r="B110" s="1" t="s">
        <v>25</v>
      </c>
      <c r="C110" s="1" t="s">
        <v>40</v>
      </c>
      <c r="D110" s="1" t="s">
        <v>5</v>
      </c>
      <c r="E110" s="3">
        <v>46220.5493055556</v>
      </c>
      <c r="F110" s="3">
        <v>46232.458333333299</v>
      </c>
      <c r="G110" s="3">
        <v>46232.458333333299</v>
      </c>
      <c r="H110" s="1" t="s">
        <v>42</v>
      </c>
      <c r="I110" s="1" t="s">
        <v>385</v>
      </c>
      <c r="J110" s="1" t="s">
        <v>59</v>
      </c>
      <c r="K110" s="1" t="s">
        <v>30</v>
      </c>
      <c r="L110" s="1" t="s">
        <v>31</v>
      </c>
      <c r="M110" s="1" t="s">
        <v>62</v>
      </c>
      <c r="N110" s="4">
        <v>36</v>
      </c>
      <c r="O110" s="1" t="s">
        <v>87</v>
      </c>
      <c r="P110" s="1" t="s">
        <v>47</v>
      </c>
      <c r="Q110" s="1" t="s">
        <v>35</v>
      </c>
      <c r="R110" s="1" t="s">
        <v>36</v>
      </c>
      <c r="S110" s="5">
        <v>421380</v>
      </c>
      <c r="T110" s="1" t="s">
        <v>386</v>
      </c>
      <c r="U110" s="1" t="s">
        <v>38</v>
      </c>
      <c r="V110" s="3">
        <v>46225.426388888904</v>
      </c>
      <c r="W110" s="6">
        <f t="shared" si="2"/>
        <v>26</v>
      </c>
      <c r="X110" s="6" t="str">
        <f t="shared" si="3"/>
        <v>Sim</v>
      </c>
    </row>
    <row r="111" spans="1:24" ht="15" customHeight="1" x14ac:dyDescent="0.3">
      <c r="A111" s="1" t="s">
        <v>387</v>
      </c>
      <c r="B111" s="1" t="s">
        <v>25</v>
      </c>
      <c r="C111" s="1" t="s">
        <v>40</v>
      </c>
      <c r="D111" s="1" t="s">
        <v>5</v>
      </c>
      <c r="E111" s="3">
        <v>46239.416666666701</v>
      </c>
      <c r="F111" s="3">
        <v>46246.626388888901</v>
      </c>
      <c r="G111" s="3">
        <v>46246.626388888901</v>
      </c>
      <c r="H111" s="1" t="s">
        <v>42</v>
      </c>
      <c r="I111" s="1" t="s">
        <v>388</v>
      </c>
      <c r="J111" s="1" t="s">
        <v>389</v>
      </c>
      <c r="K111" s="1" t="s">
        <v>30</v>
      </c>
      <c r="L111" s="1" t="s">
        <v>31</v>
      </c>
      <c r="M111" s="1" t="s">
        <v>62</v>
      </c>
      <c r="N111" s="4">
        <v>36</v>
      </c>
      <c r="O111" s="1" t="s">
        <v>46</v>
      </c>
      <c r="P111" s="1" t="s">
        <v>47</v>
      </c>
      <c r="Q111" s="1" t="s">
        <v>35</v>
      </c>
      <c r="R111" s="1" t="s">
        <v>36</v>
      </c>
      <c r="S111" s="5">
        <v>17280</v>
      </c>
      <c r="T111" s="1" t="s">
        <v>390</v>
      </c>
      <c r="U111" s="1" t="s">
        <v>38</v>
      </c>
      <c r="V111" s="3">
        <v>46239.616666666698</v>
      </c>
      <c r="W111" s="6">
        <f t="shared" si="2"/>
        <v>1</v>
      </c>
      <c r="X111" s="6" t="str">
        <f t="shared" si="3"/>
        <v>Não</v>
      </c>
    </row>
    <row r="112" spans="1:24" ht="15" customHeight="1" x14ac:dyDescent="0.3">
      <c r="A112" s="1" t="s">
        <v>391</v>
      </c>
      <c r="B112" s="1" t="s">
        <v>25</v>
      </c>
      <c r="C112" s="1" t="s">
        <v>40</v>
      </c>
      <c r="D112" s="1" t="s">
        <v>5</v>
      </c>
      <c r="E112" s="3">
        <v>46245.451388888898</v>
      </c>
      <c r="F112" s="3">
        <v>46253.542361111096</v>
      </c>
      <c r="G112" s="3">
        <v>46253.542361111096</v>
      </c>
      <c r="H112" s="1" t="s">
        <v>42</v>
      </c>
      <c r="I112" s="1" t="s">
        <v>392</v>
      </c>
      <c r="J112" s="1" t="s">
        <v>235</v>
      </c>
      <c r="K112" s="1" t="s">
        <v>30</v>
      </c>
      <c r="L112" s="1" t="s">
        <v>31</v>
      </c>
      <c r="M112" s="1" t="s">
        <v>62</v>
      </c>
      <c r="N112" s="4">
        <v>36</v>
      </c>
      <c r="O112" s="1" t="s">
        <v>33</v>
      </c>
      <c r="P112" s="1" t="s">
        <v>47</v>
      </c>
      <c r="Q112" s="1" t="s">
        <v>35</v>
      </c>
      <c r="R112" s="1" t="s">
        <v>36</v>
      </c>
      <c r="S112" s="5">
        <v>91020</v>
      </c>
      <c r="T112" s="1" t="s">
        <v>393</v>
      </c>
      <c r="U112" s="1" t="s">
        <v>38</v>
      </c>
      <c r="V112" s="3">
        <v>46246.504861111098</v>
      </c>
      <c r="W112" s="6">
        <f t="shared" si="2"/>
        <v>6</v>
      </c>
      <c r="X112" s="6" t="str">
        <f t="shared" si="3"/>
        <v>Sim</v>
      </c>
    </row>
    <row r="113" spans="1:24" ht="15" customHeight="1" x14ac:dyDescent="0.3">
      <c r="A113" s="1" t="s">
        <v>394</v>
      </c>
      <c r="B113" s="1" t="s">
        <v>25</v>
      </c>
      <c r="C113" s="1" t="s">
        <v>40</v>
      </c>
      <c r="D113" s="1" t="s">
        <v>5</v>
      </c>
      <c r="E113" s="3">
        <v>46255.367361111101</v>
      </c>
      <c r="F113" s="3">
        <v>46262.583333333299</v>
      </c>
      <c r="G113" s="3">
        <v>46262.583333333299</v>
      </c>
      <c r="H113" s="1" t="s">
        <v>42</v>
      </c>
      <c r="I113" s="1" t="s">
        <v>395</v>
      </c>
      <c r="J113" s="1" t="s">
        <v>138</v>
      </c>
      <c r="K113" s="1" t="s">
        <v>30</v>
      </c>
      <c r="L113" s="1" t="s">
        <v>31</v>
      </c>
      <c r="M113" s="1" t="s">
        <v>62</v>
      </c>
      <c r="N113" s="4">
        <v>36</v>
      </c>
      <c r="O113" s="1" t="s">
        <v>46</v>
      </c>
      <c r="P113" s="1" t="s">
        <v>47</v>
      </c>
      <c r="Q113" s="1" t="s">
        <v>35</v>
      </c>
      <c r="R113" s="1" t="s">
        <v>36</v>
      </c>
      <c r="S113" s="5">
        <v>16500</v>
      </c>
      <c r="T113" s="1" t="s">
        <v>396</v>
      </c>
      <c r="U113" s="1" t="s">
        <v>38</v>
      </c>
      <c r="V113" s="3">
        <v>46255.558333333298</v>
      </c>
      <c r="W113" s="6">
        <f t="shared" si="2"/>
        <v>2</v>
      </c>
      <c r="X113" s="6" t="str">
        <f t="shared" si="3"/>
        <v>Sim</v>
      </c>
    </row>
    <row r="114" spans="1:24" ht="15" customHeight="1" x14ac:dyDescent="0.3">
      <c r="A114" s="1" t="s">
        <v>397</v>
      </c>
      <c r="B114" s="1" t="s">
        <v>25</v>
      </c>
      <c r="C114" s="1" t="s">
        <v>40</v>
      </c>
      <c r="D114" s="1" t="s">
        <v>5</v>
      </c>
      <c r="E114" s="3">
        <v>46241.6652777778</v>
      </c>
      <c r="F114" s="3">
        <v>46254.666666666701</v>
      </c>
      <c r="G114" s="3">
        <v>46254.666666666701</v>
      </c>
      <c r="H114" s="1" t="s">
        <v>42</v>
      </c>
      <c r="I114" s="1" t="s">
        <v>398</v>
      </c>
      <c r="J114" s="1" t="s">
        <v>399</v>
      </c>
      <c r="K114" s="1" t="s">
        <v>30</v>
      </c>
      <c r="L114" s="1" t="s">
        <v>31</v>
      </c>
      <c r="M114" s="1" t="s">
        <v>62</v>
      </c>
      <c r="N114" s="4">
        <v>36</v>
      </c>
      <c r="O114" s="1" t="s">
        <v>46</v>
      </c>
      <c r="P114" s="1" t="s">
        <v>47</v>
      </c>
      <c r="Q114" s="1" t="s">
        <v>35</v>
      </c>
      <c r="R114" s="1" t="s">
        <v>36</v>
      </c>
      <c r="S114" s="5">
        <v>516480</v>
      </c>
      <c r="T114" s="1" t="s">
        <v>400</v>
      </c>
      <c r="U114" s="1" t="s">
        <v>38</v>
      </c>
      <c r="V114" s="3">
        <v>46247.6430555556</v>
      </c>
      <c r="W114" s="6">
        <f t="shared" si="2"/>
        <v>1</v>
      </c>
      <c r="X114" s="6" t="str">
        <f t="shared" si="3"/>
        <v>Não</v>
      </c>
    </row>
    <row r="115" spans="1:24" ht="15" customHeight="1" x14ac:dyDescent="0.3">
      <c r="A115" s="1" t="s">
        <v>401</v>
      </c>
      <c r="B115" s="1" t="s">
        <v>25</v>
      </c>
      <c r="C115" s="1" t="s">
        <v>40</v>
      </c>
      <c r="D115" s="1" t="s">
        <v>5</v>
      </c>
      <c r="E115" s="3">
        <v>46251.388888888898</v>
      </c>
      <c r="F115" s="3">
        <v>46258.709027777797</v>
      </c>
      <c r="G115" s="3">
        <v>46258.709027777797</v>
      </c>
      <c r="H115" s="1" t="s">
        <v>42</v>
      </c>
      <c r="I115" s="1" t="s">
        <v>402</v>
      </c>
      <c r="J115" s="1" t="s">
        <v>118</v>
      </c>
      <c r="K115" s="1" t="s">
        <v>30</v>
      </c>
      <c r="L115" s="1" t="s">
        <v>31</v>
      </c>
      <c r="M115" s="1" t="s">
        <v>62</v>
      </c>
      <c r="N115" s="4">
        <v>36</v>
      </c>
      <c r="O115" s="1" t="s">
        <v>46</v>
      </c>
      <c r="P115" s="1" t="s">
        <v>47</v>
      </c>
      <c r="Q115" s="1" t="s">
        <v>35</v>
      </c>
      <c r="R115" s="1" t="s">
        <v>36</v>
      </c>
      <c r="S115" s="5">
        <v>24420</v>
      </c>
      <c r="T115" s="1" t="s">
        <v>403</v>
      </c>
      <c r="U115" s="1" t="s">
        <v>38</v>
      </c>
      <c r="V115" s="3">
        <v>46251.671527777798</v>
      </c>
      <c r="W115" s="6">
        <f t="shared" si="2"/>
        <v>2</v>
      </c>
      <c r="X115" s="6" t="str">
        <f t="shared" si="3"/>
        <v>Sim</v>
      </c>
    </row>
    <row r="116" spans="1:24" ht="15" customHeight="1" x14ac:dyDescent="0.3">
      <c r="A116" s="1" t="s">
        <v>404</v>
      </c>
      <c r="B116" s="1" t="s">
        <v>25</v>
      </c>
      <c r="C116" s="1" t="s">
        <v>40</v>
      </c>
      <c r="D116" s="1" t="s">
        <v>5</v>
      </c>
      <c r="E116" s="3">
        <v>46259.517361111102</v>
      </c>
      <c r="F116" s="3">
        <v>46267.501388888901</v>
      </c>
      <c r="G116" s="3">
        <v>46267.501388888901</v>
      </c>
      <c r="H116" s="1" t="s">
        <v>42</v>
      </c>
      <c r="I116" s="1" t="s">
        <v>405</v>
      </c>
      <c r="J116" s="1" t="s">
        <v>239</v>
      </c>
      <c r="K116" s="1" t="s">
        <v>30</v>
      </c>
      <c r="L116" s="1" t="s">
        <v>31</v>
      </c>
      <c r="M116" s="1" t="s">
        <v>62</v>
      </c>
      <c r="N116" s="4">
        <v>36</v>
      </c>
      <c r="O116" s="1" t="s">
        <v>46</v>
      </c>
      <c r="P116" s="1" t="s">
        <v>47</v>
      </c>
      <c r="Q116" s="1" t="s">
        <v>35</v>
      </c>
      <c r="R116" s="1" t="s">
        <v>36</v>
      </c>
      <c r="S116" s="5">
        <v>84120</v>
      </c>
      <c r="T116" s="1" t="s">
        <v>406</v>
      </c>
      <c r="U116" s="1" t="s">
        <v>38</v>
      </c>
      <c r="V116" s="3">
        <v>46260.4909722222</v>
      </c>
      <c r="W116" s="6">
        <f t="shared" si="2"/>
        <v>2</v>
      </c>
      <c r="X116" s="6" t="str">
        <f t="shared" si="3"/>
        <v>Sim</v>
      </c>
    </row>
    <row r="117" spans="1:24" ht="15" customHeight="1" x14ac:dyDescent="0.3">
      <c r="A117" s="1" t="s">
        <v>407</v>
      </c>
      <c r="B117" s="1" t="s">
        <v>25</v>
      </c>
      <c r="C117" s="1" t="s">
        <v>40</v>
      </c>
      <c r="D117" s="1" t="s">
        <v>408</v>
      </c>
      <c r="E117" s="3">
        <v>46238.677777777797</v>
      </c>
      <c r="F117" s="3">
        <v>46253.610416666699</v>
      </c>
      <c r="G117" s="3">
        <v>46253.610416666699</v>
      </c>
      <c r="H117" s="1" t="s">
        <v>42</v>
      </c>
      <c r="I117" s="1" t="s">
        <v>409</v>
      </c>
      <c r="J117" s="1" t="s">
        <v>123</v>
      </c>
      <c r="K117" s="1" t="s">
        <v>30</v>
      </c>
      <c r="L117" s="1" t="s">
        <v>31</v>
      </c>
      <c r="M117" s="1" t="s">
        <v>62</v>
      </c>
      <c r="N117" s="4">
        <v>36</v>
      </c>
      <c r="O117" s="1" t="s">
        <v>46</v>
      </c>
      <c r="P117" s="1" t="s">
        <v>47</v>
      </c>
      <c r="R117" s="1" t="s">
        <v>36</v>
      </c>
      <c r="S117" s="5">
        <v>1290180</v>
      </c>
      <c r="U117" s="1" t="s">
        <v>38</v>
      </c>
      <c r="V117" s="3"/>
      <c r="W117" s="6">
        <f t="shared" si="2"/>
        <v>7</v>
      </c>
      <c r="X117" s="6" t="str">
        <f t="shared" si="3"/>
        <v>Sim</v>
      </c>
    </row>
    <row r="118" spans="1:24" ht="15" customHeight="1" x14ac:dyDescent="0.3">
      <c r="A118" s="1" t="s">
        <v>410</v>
      </c>
      <c r="B118" s="1" t="s">
        <v>25</v>
      </c>
      <c r="C118" s="1" t="s">
        <v>40</v>
      </c>
      <c r="D118" s="1" t="s">
        <v>408</v>
      </c>
      <c r="E118" s="3">
        <v>46225.692361111098</v>
      </c>
      <c r="F118" s="3">
        <v>46225.728472222203</v>
      </c>
      <c r="G118" s="3">
        <v>46225.728472222203</v>
      </c>
      <c r="H118" s="1" t="s">
        <v>42</v>
      </c>
      <c r="I118" s="1" t="s">
        <v>411</v>
      </c>
      <c r="J118" s="1" t="s">
        <v>235</v>
      </c>
      <c r="K118" s="1" t="s">
        <v>30</v>
      </c>
      <c r="L118" s="1" t="s">
        <v>31</v>
      </c>
      <c r="M118" s="1" t="s">
        <v>45</v>
      </c>
      <c r="N118" s="4">
        <v>36</v>
      </c>
      <c r="O118" s="1" t="s">
        <v>87</v>
      </c>
      <c r="P118" s="1" t="s">
        <v>47</v>
      </c>
      <c r="R118" s="1" t="s">
        <v>36</v>
      </c>
      <c r="S118" s="5">
        <v>3120</v>
      </c>
      <c r="U118" s="1" t="s">
        <v>38</v>
      </c>
      <c r="V118" s="3"/>
      <c r="W118" s="6">
        <f t="shared" si="2"/>
        <v>6</v>
      </c>
      <c r="X118" s="6" t="str">
        <f t="shared" si="3"/>
        <v>Sim</v>
      </c>
    </row>
    <row r="119" spans="1:24" ht="15" customHeight="1" x14ac:dyDescent="0.3">
      <c r="A119" s="1" t="s">
        <v>412</v>
      </c>
      <c r="B119" s="1" t="s">
        <v>25</v>
      </c>
      <c r="C119" s="1" t="s">
        <v>40</v>
      </c>
      <c r="D119" s="1" t="s">
        <v>408</v>
      </c>
      <c r="E119" s="3">
        <v>46273.457638888904</v>
      </c>
      <c r="F119" s="3">
        <v>46273.605555555601</v>
      </c>
      <c r="G119" s="3">
        <v>46273.605555555601</v>
      </c>
      <c r="H119" s="1" t="s">
        <v>42</v>
      </c>
      <c r="I119" s="1" t="s">
        <v>413</v>
      </c>
      <c r="J119" s="1" t="s">
        <v>59</v>
      </c>
      <c r="K119" s="1" t="s">
        <v>30</v>
      </c>
      <c r="L119" s="1" t="s">
        <v>31</v>
      </c>
      <c r="M119" s="1" t="s">
        <v>45</v>
      </c>
      <c r="N119" s="4">
        <v>36</v>
      </c>
      <c r="O119" s="1" t="s">
        <v>46</v>
      </c>
      <c r="P119" s="1" t="s">
        <v>47</v>
      </c>
      <c r="R119" s="1" t="s">
        <v>36</v>
      </c>
      <c r="S119" s="5">
        <v>12780</v>
      </c>
      <c r="U119" s="1" t="s">
        <v>38</v>
      </c>
      <c r="V119" s="3"/>
      <c r="W119" s="6">
        <f t="shared" si="2"/>
        <v>26</v>
      </c>
      <c r="X119" s="6" t="str">
        <f t="shared" si="3"/>
        <v>Sim</v>
      </c>
    </row>
    <row r="120" spans="1:24" ht="15" customHeight="1" x14ac:dyDescent="0.3">
      <c r="A120" s="1" t="s">
        <v>414</v>
      </c>
      <c r="B120" s="1" t="s">
        <v>25</v>
      </c>
      <c r="C120" s="1" t="s">
        <v>40</v>
      </c>
      <c r="D120" s="1" t="s">
        <v>408</v>
      </c>
      <c r="E120" s="3">
        <v>46252.362500000003</v>
      </c>
      <c r="F120" s="3">
        <v>46258.663194444503</v>
      </c>
      <c r="G120" s="3">
        <v>46258.663194444503</v>
      </c>
      <c r="H120" s="1" t="s">
        <v>42</v>
      </c>
      <c r="I120" s="1" t="s">
        <v>415</v>
      </c>
      <c r="J120" s="1" t="s">
        <v>416</v>
      </c>
      <c r="K120" s="1" t="s">
        <v>30</v>
      </c>
      <c r="L120" s="1" t="s">
        <v>31</v>
      </c>
      <c r="M120" s="1" t="s">
        <v>32</v>
      </c>
      <c r="N120" s="4">
        <v>36</v>
      </c>
      <c r="O120" s="1" t="s">
        <v>46</v>
      </c>
      <c r="P120" s="1" t="s">
        <v>47</v>
      </c>
      <c r="R120" s="1" t="s">
        <v>36</v>
      </c>
      <c r="S120" s="5">
        <v>544380</v>
      </c>
      <c r="U120" s="1" t="s">
        <v>38</v>
      </c>
      <c r="V120" s="3"/>
      <c r="W120" s="6">
        <f t="shared" si="2"/>
        <v>1</v>
      </c>
      <c r="X120" s="6" t="str">
        <f t="shared" si="3"/>
        <v>Não</v>
      </c>
    </row>
    <row r="121" spans="1:24" ht="15" customHeight="1" x14ac:dyDescent="0.3">
      <c r="A121" s="1" t="s">
        <v>417</v>
      </c>
      <c r="B121" s="1" t="s">
        <v>25</v>
      </c>
      <c r="C121" s="1" t="s">
        <v>40</v>
      </c>
      <c r="D121" s="1" t="s">
        <v>408</v>
      </c>
      <c r="E121" s="3">
        <v>46223.438194444498</v>
      </c>
      <c r="F121" s="3">
        <v>46223.441666666702</v>
      </c>
      <c r="G121" s="3">
        <v>46223.441666666702</v>
      </c>
      <c r="H121" s="1" t="s">
        <v>42</v>
      </c>
      <c r="I121" s="1" t="s">
        <v>418</v>
      </c>
      <c r="J121" s="1" t="s">
        <v>59</v>
      </c>
      <c r="K121" s="1" t="s">
        <v>30</v>
      </c>
      <c r="L121" s="1" t="s">
        <v>31</v>
      </c>
      <c r="M121" s="1" t="s">
        <v>45</v>
      </c>
      <c r="N121" s="4">
        <v>36</v>
      </c>
      <c r="O121" s="1" t="s">
        <v>46</v>
      </c>
      <c r="P121" s="1" t="s">
        <v>47</v>
      </c>
      <c r="R121" s="1" t="s">
        <v>36</v>
      </c>
      <c r="S121" s="5">
        <v>300</v>
      </c>
      <c r="U121" s="1" t="s">
        <v>38</v>
      </c>
      <c r="V121" s="3"/>
      <c r="W121" s="6">
        <f t="shared" si="2"/>
        <v>26</v>
      </c>
      <c r="X121" s="6" t="str">
        <f t="shared" si="3"/>
        <v>Sim</v>
      </c>
    </row>
    <row r="122" spans="1:24" ht="15" customHeight="1" x14ac:dyDescent="0.3">
      <c r="A122" s="1" t="s">
        <v>419</v>
      </c>
      <c r="B122" s="1" t="s">
        <v>25</v>
      </c>
      <c r="C122" s="1" t="s">
        <v>40</v>
      </c>
      <c r="D122" s="1" t="s">
        <v>408</v>
      </c>
      <c r="E122" s="3">
        <v>46249.409722222197</v>
      </c>
      <c r="F122" s="3">
        <v>46251.35</v>
      </c>
      <c r="G122" s="3">
        <v>46273.422222222202</v>
      </c>
      <c r="H122" s="1" t="s">
        <v>42</v>
      </c>
      <c r="I122" s="1" t="s">
        <v>420</v>
      </c>
      <c r="J122" s="1" t="s">
        <v>214</v>
      </c>
      <c r="K122" s="1" t="s">
        <v>30</v>
      </c>
      <c r="L122" s="1" t="s">
        <v>31</v>
      </c>
      <c r="M122" s="1" t="s">
        <v>45</v>
      </c>
      <c r="N122" s="4">
        <v>36</v>
      </c>
      <c r="O122" s="1" t="s">
        <v>46</v>
      </c>
      <c r="P122" s="1" t="s">
        <v>47</v>
      </c>
      <c r="R122" s="1" t="s">
        <v>36</v>
      </c>
      <c r="S122" s="5">
        <v>167640</v>
      </c>
      <c r="U122" s="1" t="s">
        <v>38</v>
      </c>
      <c r="V122" s="3"/>
      <c r="W122" s="6">
        <f t="shared" si="2"/>
        <v>3</v>
      </c>
      <c r="X122" s="6" t="str">
        <f t="shared" si="3"/>
        <v>Sim</v>
      </c>
    </row>
    <row r="123" spans="1:24" ht="15" customHeight="1" x14ac:dyDescent="0.3">
      <c r="A123" s="1" t="s">
        <v>421</v>
      </c>
      <c r="B123" s="1" t="s">
        <v>25</v>
      </c>
      <c r="C123" s="1" t="s">
        <v>40</v>
      </c>
      <c r="D123" s="1" t="s">
        <v>408</v>
      </c>
      <c r="E123" s="3">
        <v>46231.422222222202</v>
      </c>
      <c r="F123" s="3">
        <v>46231.469444444498</v>
      </c>
      <c r="G123" s="3">
        <v>46231.469444444498</v>
      </c>
      <c r="H123" s="1" t="s">
        <v>42</v>
      </c>
      <c r="I123" s="1" t="s">
        <v>422</v>
      </c>
      <c r="J123" s="1" t="s">
        <v>59</v>
      </c>
      <c r="K123" s="1" t="s">
        <v>30</v>
      </c>
      <c r="L123" s="1" t="s">
        <v>31</v>
      </c>
      <c r="M123" s="1" t="s">
        <v>45</v>
      </c>
      <c r="N123" s="4">
        <v>36</v>
      </c>
      <c r="O123" s="1" t="s">
        <v>246</v>
      </c>
      <c r="P123" s="1" t="s">
        <v>47</v>
      </c>
      <c r="R123" s="1" t="s">
        <v>36</v>
      </c>
      <c r="S123" s="5">
        <v>4080</v>
      </c>
      <c r="U123" s="1" t="s">
        <v>38</v>
      </c>
      <c r="V123" s="3"/>
      <c r="W123" s="6">
        <f t="shared" si="2"/>
        <v>26</v>
      </c>
      <c r="X123" s="6" t="str">
        <f t="shared" si="3"/>
        <v>Sim</v>
      </c>
    </row>
    <row r="124" spans="1:24" ht="15" customHeight="1" x14ac:dyDescent="0.3">
      <c r="A124" s="1" t="s">
        <v>423</v>
      </c>
      <c r="B124" s="1" t="s">
        <v>25</v>
      </c>
      <c r="C124" s="1" t="s">
        <v>40</v>
      </c>
      <c r="D124" s="1" t="s">
        <v>408</v>
      </c>
      <c r="E124" s="3">
        <v>46267.390277777798</v>
      </c>
      <c r="F124" s="3">
        <v>46269.595138888901</v>
      </c>
      <c r="G124" s="3">
        <v>46269.595138888901</v>
      </c>
      <c r="H124" s="1" t="s">
        <v>42</v>
      </c>
      <c r="I124" s="1" t="s">
        <v>424</v>
      </c>
      <c r="J124" s="1" t="s">
        <v>123</v>
      </c>
      <c r="K124" s="1" t="s">
        <v>30</v>
      </c>
      <c r="L124" s="1" t="s">
        <v>31</v>
      </c>
      <c r="M124" s="1" t="s">
        <v>45</v>
      </c>
      <c r="N124" s="4">
        <v>36</v>
      </c>
      <c r="O124" s="1" t="s">
        <v>46</v>
      </c>
      <c r="P124" s="1" t="s">
        <v>47</v>
      </c>
      <c r="R124" s="1" t="s">
        <v>36</v>
      </c>
      <c r="S124" s="5">
        <v>190500</v>
      </c>
      <c r="U124" s="1" t="s">
        <v>38</v>
      </c>
      <c r="V124" s="3"/>
      <c r="W124" s="6">
        <f t="shared" si="2"/>
        <v>7</v>
      </c>
      <c r="X124" s="6" t="str">
        <f t="shared" si="3"/>
        <v>Sim</v>
      </c>
    </row>
    <row r="125" spans="1:24" ht="15" customHeight="1" x14ac:dyDescent="0.3">
      <c r="A125" s="1" t="s">
        <v>425</v>
      </c>
      <c r="B125" s="1" t="s">
        <v>25</v>
      </c>
      <c r="C125" s="1" t="s">
        <v>40</v>
      </c>
      <c r="D125" s="1" t="s">
        <v>408</v>
      </c>
      <c r="E125" s="3">
        <v>46196.750694444498</v>
      </c>
      <c r="F125" s="3">
        <v>46197.452777777798</v>
      </c>
      <c r="G125" s="3">
        <v>46197.452777777798</v>
      </c>
      <c r="H125" s="1" t="s">
        <v>42</v>
      </c>
      <c r="I125" s="1" t="s">
        <v>426</v>
      </c>
      <c r="J125" s="1" t="s">
        <v>54</v>
      </c>
      <c r="K125" s="1" t="s">
        <v>30</v>
      </c>
      <c r="L125" s="1" t="s">
        <v>31</v>
      </c>
      <c r="M125" s="1" t="s">
        <v>45</v>
      </c>
      <c r="N125" s="4">
        <v>36</v>
      </c>
      <c r="O125" s="1" t="s">
        <v>46</v>
      </c>
      <c r="P125" s="1" t="s">
        <v>47</v>
      </c>
      <c r="R125" s="1" t="s">
        <v>36</v>
      </c>
      <c r="S125" s="5">
        <v>60660</v>
      </c>
      <c r="U125" s="1" t="s">
        <v>38</v>
      </c>
      <c r="V125" s="3"/>
      <c r="W125" s="6">
        <f t="shared" si="2"/>
        <v>10</v>
      </c>
      <c r="X125" s="6" t="str">
        <f t="shared" si="3"/>
        <v>Sim</v>
      </c>
    </row>
    <row r="126" spans="1:24" ht="15" customHeight="1" x14ac:dyDescent="0.3">
      <c r="A126" s="1" t="s">
        <v>427</v>
      </c>
      <c r="B126" s="1" t="s">
        <v>25</v>
      </c>
      <c r="C126" s="1" t="s">
        <v>40</v>
      </c>
      <c r="D126" s="1" t="s">
        <v>408</v>
      </c>
      <c r="E126" s="3">
        <v>46223.391666666699</v>
      </c>
      <c r="F126" s="3">
        <v>46223.681250000001</v>
      </c>
      <c r="G126" s="3">
        <v>46223.681250000001</v>
      </c>
      <c r="H126" s="1" t="s">
        <v>42</v>
      </c>
      <c r="I126" s="1" t="s">
        <v>428</v>
      </c>
      <c r="J126" s="1" t="s">
        <v>59</v>
      </c>
      <c r="K126" s="1" t="s">
        <v>51</v>
      </c>
      <c r="L126" s="1" t="s">
        <v>31</v>
      </c>
      <c r="M126" s="1" t="s">
        <v>45</v>
      </c>
      <c r="N126" s="4">
        <v>36</v>
      </c>
      <c r="O126" s="1" t="s">
        <v>46</v>
      </c>
      <c r="P126" s="1" t="s">
        <v>47</v>
      </c>
      <c r="R126" s="1" t="s">
        <v>36</v>
      </c>
      <c r="S126" s="5">
        <v>25020</v>
      </c>
      <c r="U126" s="1" t="s">
        <v>38</v>
      </c>
      <c r="V126" s="3"/>
      <c r="W126" s="6">
        <f t="shared" si="2"/>
        <v>26</v>
      </c>
      <c r="X126" s="6" t="str">
        <f t="shared" si="3"/>
        <v>Sim</v>
      </c>
    </row>
    <row r="127" spans="1:24" ht="15" customHeight="1" x14ac:dyDescent="0.3">
      <c r="A127" s="1" t="s">
        <v>429</v>
      </c>
      <c r="B127" s="1" t="s">
        <v>25</v>
      </c>
      <c r="C127" s="1" t="s">
        <v>430</v>
      </c>
      <c r="D127" s="1" t="s">
        <v>5</v>
      </c>
      <c r="E127" s="3">
        <v>46227.683333333298</v>
      </c>
      <c r="F127" s="3">
        <v>46239.417361111096</v>
      </c>
      <c r="G127" s="3">
        <v>46239.417361111096</v>
      </c>
      <c r="H127" s="1" t="s">
        <v>42</v>
      </c>
      <c r="I127" s="1" t="s">
        <v>431</v>
      </c>
      <c r="J127" s="1" t="s">
        <v>432</v>
      </c>
      <c r="K127" s="1" t="s">
        <v>51</v>
      </c>
      <c r="L127" s="1" t="s">
        <v>31</v>
      </c>
      <c r="M127" s="1" t="s">
        <v>32</v>
      </c>
      <c r="N127" s="4">
        <v>36</v>
      </c>
      <c r="O127" s="1" t="s">
        <v>46</v>
      </c>
      <c r="P127" s="1" t="s">
        <v>433</v>
      </c>
      <c r="Q127" s="1" t="s">
        <v>35</v>
      </c>
      <c r="R127" s="1" t="s">
        <v>36</v>
      </c>
      <c r="S127" s="5">
        <v>406440</v>
      </c>
      <c r="T127" s="1" t="s">
        <v>434</v>
      </c>
      <c r="U127" s="1" t="s">
        <v>120</v>
      </c>
      <c r="V127" s="3">
        <v>46232.387499999997</v>
      </c>
      <c r="W127" s="6">
        <f t="shared" si="2"/>
        <v>1</v>
      </c>
      <c r="X127" s="6" t="str">
        <f t="shared" si="3"/>
        <v>Não</v>
      </c>
    </row>
    <row r="128" spans="1:24" ht="15" customHeight="1" x14ac:dyDescent="0.3">
      <c r="A128" s="1" t="s">
        <v>435</v>
      </c>
      <c r="B128" s="1" t="s">
        <v>25</v>
      </c>
      <c r="C128" s="1" t="s">
        <v>430</v>
      </c>
      <c r="D128" s="1" t="s">
        <v>5</v>
      </c>
      <c r="E128" s="3">
        <v>46209.609722222202</v>
      </c>
      <c r="F128" s="3">
        <v>46225.583333333299</v>
      </c>
      <c r="G128" s="3">
        <v>46225.583333333299</v>
      </c>
      <c r="H128" s="1" t="s">
        <v>42</v>
      </c>
      <c r="I128" s="1" t="s">
        <v>436</v>
      </c>
      <c r="J128" s="1" t="s">
        <v>75</v>
      </c>
      <c r="K128" s="1" t="s">
        <v>30</v>
      </c>
      <c r="L128" s="1" t="s">
        <v>31</v>
      </c>
      <c r="M128" s="1" t="s">
        <v>32</v>
      </c>
      <c r="N128" s="4">
        <v>36</v>
      </c>
      <c r="O128" s="1" t="s">
        <v>246</v>
      </c>
      <c r="P128" s="1" t="s">
        <v>47</v>
      </c>
      <c r="Q128" s="1" t="s">
        <v>35</v>
      </c>
      <c r="R128" s="1" t="s">
        <v>36</v>
      </c>
      <c r="S128" s="5">
        <v>773280</v>
      </c>
      <c r="T128" s="1" t="s">
        <v>437</v>
      </c>
      <c r="U128" s="1" t="s">
        <v>38</v>
      </c>
      <c r="V128" s="3">
        <v>46218.559722222199</v>
      </c>
      <c r="W128" s="6">
        <f t="shared" si="2"/>
        <v>2</v>
      </c>
      <c r="X128" s="6" t="str">
        <f t="shared" si="3"/>
        <v>Sim</v>
      </c>
    </row>
    <row r="129" spans="1:24" ht="15" customHeight="1" x14ac:dyDescent="0.3">
      <c r="A129" s="1" t="s">
        <v>438</v>
      </c>
      <c r="B129" s="1" t="s">
        <v>25</v>
      </c>
      <c r="C129" s="1" t="s">
        <v>430</v>
      </c>
      <c r="D129" s="1" t="s">
        <v>5</v>
      </c>
      <c r="E129" s="3">
        <v>46181.740277777797</v>
      </c>
      <c r="F129" s="3">
        <v>46193.541666666701</v>
      </c>
      <c r="G129" s="3">
        <v>46193.541666666701</v>
      </c>
      <c r="H129" s="1" t="s">
        <v>42</v>
      </c>
      <c r="I129" s="1" t="s">
        <v>439</v>
      </c>
      <c r="J129" s="1" t="s">
        <v>59</v>
      </c>
      <c r="K129" s="1" t="s">
        <v>30</v>
      </c>
      <c r="L129" s="1" t="s">
        <v>31</v>
      </c>
      <c r="M129" s="1" t="s">
        <v>143</v>
      </c>
      <c r="N129" s="4">
        <v>36</v>
      </c>
      <c r="O129" s="1" t="s">
        <v>46</v>
      </c>
      <c r="P129" s="1" t="s">
        <v>47</v>
      </c>
      <c r="Q129" s="1" t="s">
        <v>145</v>
      </c>
      <c r="R129" s="1" t="s">
        <v>36</v>
      </c>
      <c r="S129" s="5">
        <v>413880</v>
      </c>
      <c r="T129" s="1" t="s">
        <v>440</v>
      </c>
      <c r="U129" s="1" t="s">
        <v>38</v>
      </c>
      <c r="V129" s="3">
        <v>46186.530555555597</v>
      </c>
      <c r="W129" s="6">
        <f t="shared" si="2"/>
        <v>1</v>
      </c>
      <c r="X129" s="6" t="str">
        <f t="shared" si="3"/>
        <v>Não</v>
      </c>
    </row>
    <row r="130" spans="1:24" ht="15" customHeight="1" x14ac:dyDescent="0.3">
      <c r="A130" s="1" t="s">
        <v>441</v>
      </c>
      <c r="B130" s="1" t="s">
        <v>25</v>
      </c>
      <c r="C130" s="1" t="s">
        <v>430</v>
      </c>
      <c r="D130" s="1" t="s">
        <v>5</v>
      </c>
      <c r="E130" s="3">
        <v>46237.441666666702</v>
      </c>
      <c r="F130" s="3">
        <v>46244.708333333299</v>
      </c>
      <c r="G130" s="3">
        <v>46244.708333333299</v>
      </c>
      <c r="H130" s="1" t="s">
        <v>42</v>
      </c>
      <c r="I130" s="1" t="s">
        <v>442</v>
      </c>
      <c r="J130" s="1" t="s">
        <v>75</v>
      </c>
      <c r="K130" s="1" t="s">
        <v>30</v>
      </c>
      <c r="L130" s="1" t="s">
        <v>31</v>
      </c>
      <c r="M130" s="1" t="s">
        <v>32</v>
      </c>
      <c r="N130" s="4">
        <v>36</v>
      </c>
      <c r="O130" s="1" t="s">
        <v>46</v>
      </c>
      <c r="P130" s="1" t="s">
        <v>47</v>
      </c>
      <c r="Q130" s="1" t="s">
        <v>68</v>
      </c>
      <c r="R130" s="1" t="s">
        <v>36</v>
      </c>
      <c r="S130" s="5">
        <v>20640</v>
      </c>
      <c r="T130" s="1" t="s">
        <v>443</v>
      </c>
      <c r="U130" s="1" t="s">
        <v>38</v>
      </c>
      <c r="V130" s="3">
        <v>46237.680555555598</v>
      </c>
      <c r="W130" s="6">
        <f t="shared" ref="W130:W193" si="4">COUNTIFS($J$2:$J$417,J130,$C$2:$C$417,C130)</f>
        <v>2</v>
      </c>
      <c r="X130" s="6" t="str">
        <f t="shared" ref="X130:X193" si="5">IF(W130&gt;1,"Sim","Não")</f>
        <v>Sim</v>
      </c>
    </row>
    <row r="131" spans="1:24" ht="15" customHeight="1" x14ac:dyDescent="0.3">
      <c r="A131" s="1" t="s">
        <v>444</v>
      </c>
      <c r="B131" s="1" t="s">
        <v>25</v>
      </c>
      <c r="C131" s="1" t="s">
        <v>430</v>
      </c>
      <c r="D131" s="1" t="s">
        <v>5</v>
      </c>
      <c r="E131" s="3">
        <v>46258.4152777778</v>
      </c>
      <c r="F131" s="3">
        <v>46265.583333333299</v>
      </c>
      <c r="G131" s="3">
        <v>46265.583333333299</v>
      </c>
      <c r="H131" s="1" t="s">
        <v>42</v>
      </c>
      <c r="I131" s="1" t="s">
        <v>445</v>
      </c>
      <c r="J131" s="1" t="s">
        <v>446</v>
      </c>
      <c r="K131" s="1" t="s">
        <v>30</v>
      </c>
      <c r="L131" s="1" t="s">
        <v>31</v>
      </c>
      <c r="M131" s="1" t="s">
        <v>32</v>
      </c>
      <c r="N131" s="4">
        <v>36</v>
      </c>
      <c r="O131" s="1" t="s">
        <v>46</v>
      </c>
      <c r="P131" s="1" t="s">
        <v>447</v>
      </c>
      <c r="Q131" s="1" t="s">
        <v>35</v>
      </c>
      <c r="R131" s="1" t="s">
        <v>36</v>
      </c>
      <c r="S131" s="5">
        <v>13020</v>
      </c>
      <c r="T131" s="1" t="s">
        <v>448</v>
      </c>
      <c r="U131" s="1" t="s">
        <v>38</v>
      </c>
      <c r="V131" s="3">
        <v>46258.565972222197</v>
      </c>
      <c r="W131" s="6">
        <f t="shared" si="4"/>
        <v>1</v>
      </c>
      <c r="X131" s="6" t="str">
        <f t="shared" si="5"/>
        <v>Não</v>
      </c>
    </row>
    <row r="132" spans="1:24" ht="15" customHeight="1" x14ac:dyDescent="0.3">
      <c r="A132" s="1" t="s">
        <v>449</v>
      </c>
      <c r="B132" s="1" t="s">
        <v>25</v>
      </c>
      <c r="C132" s="1" t="s">
        <v>430</v>
      </c>
      <c r="D132" s="1" t="s">
        <v>408</v>
      </c>
      <c r="E132" s="3">
        <v>46226.716666666704</v>
      </c>
      <c r="F132" s="3">
        <v>46230.363194444399</v>
      </c>
      <c r="G132" s="3">
        <v>46230.363194444399</v>
      </c>
      <c r="H132" s="1" t="s">
        <v>42</v>
      </c>
      <c r="I132" s="1" t="s">
        <v>450</v>
      </c>
      <c r="J132" s="1" t="s">
        <v>451</v>
      </c>
      <c r="K132" s="1" t="s">
        <v>30</v>
      </c>
      <c r="L132" s="1" t="s">
        <v>31</v>
      </c>
      <c r="M132" s="1" t="s">
        <v>32</v>
      </c>
      <c r="N132" s="4">
        <v>36</v>
      </c>
      <c r="O132" s="1" t="s">
        <v>46</v>
      </c>
      <c r="P132" s="1" t="s">
        <v>452</v>
      </c>
      <c r="R132" s="1" t="s">
        <v>36</v>
      </c>
      <c r="S132" s="5">
        <v>315060</v>
      </c>
      <c r="U132" s="1" t="s">
        <v>38</v>
      </c>
      <c r="V132" s="3"/>
      <c r="W132" s="6">
        <f t="shared" si="4"/>
        <v>1</v>
      </c>
      <c r="X132" s="6" t="str">
        <f t="shared" si="5"/>
        <v>Não</v>
      </c>
    </row>
    <row r="133" spans="1:24" ht="15" customHeight="1" x14ac:dyDescent="0.3">
      <c r="A133" s="1" t="s">
        <v>453</v>
      </c>
      <c r="B133" s="1" t="s">
        <v>25</v>
      </c>
      <c r="C133" s="1" t="s">
        <v>454</v>
      </c>
      <c r="D133" s="1" t="s">
        <v>5</v>
      </c>
      <c r="E133" s="3">
        <v>46199.493750000001</v>
      </c>
      <c r="F133" s="3">
        <v>46209.458333333299</v>
      </c>
      <c r="G133" s="3">
        <v>46209.458333333299</v>
      </c>
      <c r="H133" s="1" t="s">
        <v>42</v>
      </c>
      <c r="I133" s="1" t="s">
        <v>455</v>
      </c>
      <c r="J133" s="1" t="s">
        <v>456</v>
      </c>
      <c r="K133" s="1" t="s">
        <v>30</v>
      </c>
      <c r="L133" s="1" t="s">
        <v>31</v>
      </c>
      <c r="M133" s="1" t="s">
        <v>45</v>
      </c>
      <c r="N133" s="4">
        <v>36</v>
      </c>
      <c r="O133" s="1" t="s">
        <v>46</v>
      </c>
      <c r="P133" s="1" t="s">
        <v>47</v>
      </c>
      <c r="Q133" s="1" t="s">
        <v>35</v>
      </c>
      <c r="R133" s="1" t="s">
        <v>36</v>
      </c>
      <c r="S133" s="5">
        <v>252960</v>
      </c>
      <c r="T133" s="1" t="s">
        <v>457</v>
      </c>
      <c r="U133" s="1" t="s">
        <v>38</v>
      </c>
      <c r="V133" s="3">
        <v>46202.421527777798</v>
      </c>
      <c r="W133" s="6">
        <f t="shared" si="4"/>
        <v>1</v>
      </c>
      <c r="X133" s="6" t="str">
        <f t="shared" si="5"/>
        <v>Não</v>
      </c>
    </row>
    <row r="134" spans="1:24" ht="15" customHeight="1" x14ac:dyDescent="0.3">
      <c r="A134" s="1" t="s">
        <v>187</v>
      </c>
      <c r="B134" s="1" t="s">
        <v>25</v>
      </c>
      <c r="C134" s="1" t="s">
        <v>454</v>
      </c>
      <c r="D134" s="1" t="s">
        <v>5</v>
      </c>
      <c r="E134" s="3">
        <v>46186.513888888898</v>
      </c>
      <c r="F134" s="3">
        <v>46193.708333333299</v>
      </c>
      <c r="G134" s="3">
        <v>46193.708333333299</v>
      </c>
      <c r="H134" s="1" t="s">
        <v>42</v>
      </c>
      <c r="I134" s="1" t="s">
        <v>458</v>
      </c>
      <c r="J134" s="1" t="s">
        <v>341</v>
      </c>
      <c r="K134" s="1" t="s">
        <v>30</v>
      </c>
      <c r="L134" s="1" t="s">
        <v>31</v>
      </c>
      <c r="M134" s="1" t="s">
        <v>143</v>
      </c>
      <c r="N134" s="4">
        <v>36</v>
      </c>
      <c r="O134" s="1" t="s">
        <v>46</v>
      </c>
      <c r="P134" s="1" t="s">
        <v>459</v>
      </c>
      <c r="Q134" s="1" t="s">
        <v>145</v>
      </c>
      <c r="R134" s="1" t="s">
        <v>36</v>
      </c>
      <c r="S134" s="5">
        <v>15660</v>
      </c>
      <c r="T134" s="1" t="s">
        <v>146</v>
      </c>
      <c r="U134" s="1" t="s">
        <v>38</v>
      </c>
      <c r="V134" s="3">
        <v>46186.695138888899</v>
      </c>
      <c r="W134" s="6">
        <f t="shared" si="4"/>
        <v>1</v>
      </c>
      <c r="X134" s="6" t="str">
        <f t="shared" si="5"/>
        <v>Não</v>
      </c>
    </row>
    <row r="135" spans="1:24" ht="15" customHeight="1" x14ac:dyDescent="0.3">
      <c r="A135" s="1" t="s">
        <v>460</v>
      </c>
      <c r="B135" s="1" t="s">
        <v>25</v>
      </c>
      <c r="C135" s="1" t="s">
        <v>461</v>
      </c>
      <c r="D135" s="1" t="s">
        <v>5</v>
      </c>
      <c r="E135" s="3">
        <v>46185.410416666702</v>
      </c>
      <c r="F135" s="3">
        <v>46196.375</v>
      </c>
      <c r="G135" s="3">
        <v>46196.375</v>
      </c>
      <c r="H135" s="1" t="s">
        <v>42</v>
      </c>
      <c r="I135" s="1" t="s">
        <v>462</v>
      </c>
      <c r="J135" s="1" t="s">
        <v>463</v>
      </c>
      <c r="K135" s="1" t="s">
        <v>30</v>
      </c>
      <c r="L135" s="1" t="s">
        <v>31</v>
      </c>
      <c r="M135" s="1" t="s">
        <v>32</v>
      </c>
      <c r="N135" s="4">
        <v>36</v>
      </c>
      <c r="O135" s="1" t="s">
        <v>46</v>
      </c>
      <c r="P135" s="1" t="s">
        <v>47</v>
      </c>
      <c r="Q135" s="1" t="s">
        <v>35</v>
      </c>
      <c r="R135" s="1" t="s">
        <v>36</v>
      </c>
      <c r="S135" s="5">
        <v>342240</v>
      </c>
      <c r="T135" s="1" t="s">
        <v>464</v>
      </c>
      <c r="U135" s="1" t="s">
        <v>38</v>
      </c>
      <c r="V135" s="3">
        <v>46189.371527777803</v>
      </c>
      <c r="W135" s="6">
        <f t="shared" si="4"/>
        <v>2</v>
      </c>
      <c r="X135" s="6" t="str">
        <f t="shared" si="5"/>
        <v>Sim</v>
      </c>
    </row>
    <row r="136" spans="1:24" ht="15" customHeight="1" x14ac:dyDescent="0.3">
      <c r="A136" s="1" t="s">
        <v>465</v>
      </c>
      <c r="B136" s="1" t="s">
        <v>25</v>
      </c>
      <c r="C136" s="1" t="s">
        <v>461</v>
      </c>
      <c r="D136" s="1" t="s">
        <v>5</v>
      </c>
      <c r="E136" s="3">
        <v>46175.353472222203</v>
      </c>
      <c r="F136" s="3">
        <v>46189.417361111096</v>
      </c>
      <c r="G136" s="3">
        <v>46189.417361111096</v>
      </c>
      <c r="H136" s="1" t="s">
        <v>42</v>
      </c>
      <c r="I136" s="1" t="s">
        <v>466</v>
      </c>
      <c r="J136" s="1" t="s">
        <v>467</v>
      </c>
      <c r="K136" s="1" t="s">
        <v>51</v>
      </c>
      <c r="L136" s="1" t="s">
        <v>31</v>
      </c>
      <c r="M136" s="1" t="s">
        <v>32</v>
      </c>
      <c r="N136" s="4">
        <v>36</v>
      </c>
      <c r="O136" s="1" t="s">
        <v>46</v>
      </c>
      <c r="P136" s="1" t="s">
        <v>47</v>
      </c>
      <c r="Q136" s="1" t="s">
        <v>35</v>
      </c>
      <c r="R136" s="1" t="s">
        <v>36</v>
      </c>
      <c r="S136" s="5">
        <v>610140</v>
      </c>
      <c r="T136" s="1" t="s">
        <v>468</v>
      </c>
      <c r="U136" s="1" t="s">
        <v>38</v>
      </c>
      <c r="V136" s="3">
        <v>46182.4152777778</v>
      </c>
      <c r="W136" s="6">
        <f t="shared" si="4"/>
        <v>1</v>
      </c>
      <c r="X136" s="6" t="str">
        <f t="shared" si="5"/>
        <v>Não</v>
      </c>
    </row>
    <row r="137" spans="1:24" ht="15" customHeight="1" x14ac:dyDescent="0.3">
      <c r="A137" s="1" t="s">
        <v>469</v>
      </c>
      <c r="B137" s="1" t="s">
        <v>25</v>
      </c>
      <c r="C137" s="1" t="s">
        <v>461</v>
      </c>
      <c r="D137" s="1" t="s">
        <v>5</v>
      </c>
      <c r="E137" s="3">
        <v>46232.750694444498</v>
      </c>
      <c r="F137" s="3">
        <v>46246.626388888901</v>
      </c>
      <c r="G137" s="3">
        <v>46246.626388888901</v>
      </c>
      <c r="H137" s="1" t="s">
        <v>42</v>
      </c>
      <c r="I137" s="1" t="s">
        <v>470</v>
      </c>
      <c r="J137" s="1" t="s">
        <v>471</v>
      </c>
      <c r="K137" s="1" t="s">
        <v>51</v>
      </c>
      <c r="L137" s="1" t="s">
        <v>31</v>
      </c>
      <c r="M137" s="1" t="s">
        <v>32</v>
      </c>
      <c r="N137" s="4">
        <v>36</v>
      </c>
      <c r="O137" s="1" t="s">
        <v>46</v>
      </c>
      <c r="P137" s="1" t="s">
        <v>47</v>
      </c>
      <c r="Q137" s="1" t="s">
        <v>35</v>
      </c>
      <c r="R137" s="1" t="s">
        <v>36</v>
      </c>
      <c r="S137" s="5">
        <v>593520</v>
      </c>
      <c r="T137" s="1" t="s">
        <v>472</v>
      </c>
      <c r="U137" s="1" t="s">
        <v>38</v>
      </c>
      <c r="V137" s="3">
        <v>46239.620138888902</v>
      </c>
      <c r="W137" s="6">
        <f t="shared" si="4"/>
        <v>1</v>
      </c>
      <c r="X137" s="6" t="str">
        <f t="shared" si="5"/>
        <v>Não</v>
      </c>
    </row>
    <row r="138" spans="1:24" ht="15" customHeight="1" x14ac:dyDescent="0.3">
      <c r="A138" s="1" t="s">
        <v>473</v>
      </c>
      <c r="B138" s="1" t="s">
        <v>25</v>
      </c>
      <c r="C138" s="1" t="s">
        <v>461</v>
      </c>
      <c r="D138" s="1" t="s">
        <v>5</v>
      </c>
      <c r="E138" s="3">
        <v>46258.629166666702</v>
      </c>
      <c r="F138" s="3">
        <v>46266.625</v>
      </c>
      <c r="G138" s="3">
        <v>46266.625</v>
      </c>
      <c r="H138" s="1" t="s">
        <v>42</v>
      </c>
      <c r="I138" s="1" t="s">
        <v>474</v>
      </c>
      <c r="J138" s="1" t="s">
        <v>463</v>
      </c>
      <c r="K138" s="1" t="s">
        <v>51</v>
      </c>
      <c r="L138" s="1" t="s">
        <v>31</v>
      </c>
      <c r="M138" s="1" t="s">
        <v>32</v>
      </c>
      <c r="N138" s="4">
        <v>36</v>
      </c>
      <c r="O138" s="1" t="s">
        <v>46</v>
      </c>
      <c r="P138" s="1" t="s">
        <v>47</v>
      </c>
      <c r="Q138" s="1" t="s">
        <v>68</v>
      </c>
      <c r="R138" s="1" t="s">
        <v>36</v>
      </c>
      <c r="S138" s="5">
        <v>83880</v>
      </c>
      <c r="T138" s="1" t="s">
        <v>69</v>
      </c>
      <c r="U138" s="1" t="s">
        <v>38</v>
      </c>
      <c r="V138" s="3">
        <v>46259.6</v>
      </c>
      <c r="W138" s="6">
        <f t="shared" si="4"/>
        <v>2</v>
      </c>
      <c r="X138" s="6" t="str">
        <f t="shared" si="5"/>
        <v>Sim</v>
      </c>
    </row>
    <row r="139" spans="1:24" ht="15" customHeight="1" x14ac:dyDescent="0.3">
      <c r="A139" s="1" t="s">
        <v>475</v>
      </c>
      <c r="B139" s="1" t="s">
        <v>25</v>
      </c>
      <c r="C139" s="1" t="s">
        <v>461</v>
      </c>
      <c r="D139" s="1" t="s">
        <v>408</v>
      </c>
      <c r="E139" s="3">
        <v>46263.527777777803</v>
      </c>
      <c r="F139" s="3">
        <v>46269.577777777798</v>
      </c>
      <c r="G139" s="3">
        <v>46269.577777777798</v>
      </c>
      <c r="H139" s="1" t="s">
        <v>42</v>
      </c>
      <c r="I139" s="1" t="s">
        <v>476</v>
      </c>
      <c r="J139" s="1" t="s">
        <v>299</v>
      </c>
      <c r="K139" s="1" t="s">
        <v>30</v>
      </c>
      <c r="L139" s="1" t="s">
        <v>31</v>
      </c>
      <c r="M139" s="1" t="s">
        <v>32</v>
      </c>
      <c r="N139" s="4">
        <v>36</v>
      </c>
      <c r="O139" s="1" t="s">
        <v>46</v>
      </c>
      <c r="P139" s="1" t="s">
        <v>300</v>
      </c>
      <c r="R139" s="1" t="s">
        <v>36</v>
      </c>
      <c r="S139" s="5">
        <v>522720</v>
      </c>
      <c r="U139" s="1" t="s">
        <v>38</v>
      </c>
      <c r="V139" s="3"/>
      <c r="W139" s="6">
        <f t="shared" si="4"/>
        <v>1</v>
      </c>
      <c r="X139" s="6" t="str">
        <f t="shared" si="5"/>
        <v>Não</v>
      </c>
    </row>
    <row r="140" spans="1:24" ht="15" customHeight="1" x14ac:dyDescent="0.3">
      <c r="A140" s="1" t="s">
        <v>477</v>
      </c>
      <c r="B140" s="1" t="s">
        <v>25</v>
      </c>
      <c r="C140" s="1" t="s">
        <v>461</v>
      </c>
      <c r="D140" s="1" t="s">
        <v>408</v>
      </c>
      <c r="E140" s="3">
        <v>46184.438888888901</v>
      </c>
      <c r="F140" s="3">
        <v>46184.451388888898</v>
      </c>
      <c r="G140" s="3">
        <v>46184.451388888898</v>
      </c>
      <c r="H140" s="1" t="s">
        <v>42</v>
      </c>
      <c r="I140" s="1" t="s">
        <v>478</v>
      </c>
      <c r="J140" s="1" t="s">
        <v>479</v>
      </c>
      <c r="K140" s="1" t="s">
        <v>30</v>
      </c>
      <c r="L140" s="1" t="s">
        <v>31</v>
      </c>
      <c r="M140" s="1" t="s">
        <v>45</v>
      </c>
      <c r="N140" s="4">
        <v>36</v>
      </c>
      <c r="O140" s="1" t="s">
        <v>33</v>
      </c>
      <c r="P140" s="1" t="s">
        <v>47</v>
      </c>
      <c r="R140" s="1" t="s">
        <v>36</v>
      </c>
      <c r="S140" s="5">
        <v>1080</v>
      </c>
      <c r="U140" s="1" t="s">
        <v>38</v>
      </c>
      <c r="V140" s="3"/>
      <c r="W140" s="6">
        <f t="shared" si="4"/>
        <v>1</v>
      </c>
      <c r="X140" s="6" t="str">
        <f t="shared" si="5"/>
        <v>Não</v>
      </c>
    </row>
    <row r="141" spans="1:24" ht="15" customHeight="1" x14ac:dyDescent="0.3">
      <c r="A141" s="1" t="s">
        <v>480</v>
      </c>
      <c r="B141" s="1" t="s">
        <v>25</v>
      </c>
      <c r="C141" s="1" t="s">
        <v>481</v>
      </c>
      <c r="D141" s="1" t="s">
        <v>49</v>
      </c>
      <c r="E141" s="3">
        <v>46274.548611111102</v>
      </c>
      <c r="F141" s="3"/>
      <c r="G141" s="3">
        <v>46274.653472222199</v>
      </c>
      <c r="H141" s="1" t="s">
        <v>42</v>
      </c>
      <c r="I141" s="1" t="s">
        <v>482</v>
      </c>
      <c r="J141" s="1" t="s">
        <v>123</v>
      </c>
      <c r="K141" s="1" t="s">
        <v>30</v>
      </c>
      <c r="L141" s="1" t="s">
        <v>31</v>
      </c>
      <c r="M141" s="1" t="s">
        <v>32</v>
      </c>
      <c r="N141" s="4">
        <v>36</v>
      </c>
      <c r="O141" s="1" t="s">
        <v>46</v>
      </c>
      <c r="P141" s="1" t="s">
        <v>47</v>
      </c>
      <c r="R141" s="1" t="s">
        <v>36</v>
      </c>
      <c r="S141" s="5"/>
      <c r="U141" s="1" t="s">
        <v>38</v>
      </c>
      <c r="V141" s="3"/>
      <c r="W141" s="6">
        <f t="shared" si="4"/>
        <v>2</v>
      </c>
      <c r="X141" s="6" t="str">
        <f t="shared" si="5"/>
        <v>Sim</v>
      </c>
    </row>
    <row r="142" spans="1:24" ht="15" customHeight="1" x14ac:dyDescent="0.3">
      <c r="A142" s="1" t="s">
        <v>483</v>
      </c>
      <c r="B142" s="1" t="s">
        <v>25</v>
      </c>
      <c r="C142" s="1" t="s">
        <v>481</v>
      </c>
      <c r="D142" s="1" t="s">
        <v>21</v>
      </c>
      <c r="E142" s="3">
        <v>46268.837500000001</v>
      </c>
      <c r="F142" s="3"/>
      <c r="G142" s="3">
        <v>46269.456250000003</v>
      </c>
      <c r="H142" s="1" t="s">
        <v>42</v>
      </c>
      <c r="I142" s="1" t="s">
        <v>484</v>
      </c>
      <c r="J142" s="1" t="s">
        <v>485</v>
      </c>
      <c r="K142" s="1" t="s">
        <v>30</v>
      </c>
      <c r="L142" s="1" t="s">
        <v>31</v>
      </c>
      <c r="M142" s="1" t="s">
        <v>32</v>
      </c>
      <c r="N142" s="4">
        <v>36</v>
      </c>
      <c r="O142" s="1" t="s">
        <v>46</v>
      </c>
      <c r="P142" s="1" t="s">
        <v>47</v>
      </c>
      <c r="Q142" s="1" t="s">
        <v>68</v>
      </c>
      <c r="R142" s="1" t="s">
        <v>36</v>
      </c>
      <c r="S142" s="5">
        <v>53460</v>
      </c>
      <c r="T142" s="1" t="s">
        <v>486</v>
      </c>
      <c r="U142" s="1" t="s">
        <v>38</v>
      </c>
      <c r="V142" s="3">
        <v>46269.456250000003</v>
      </c>
      <c r="W142" s="6">
        <f t="shared" si="4"/>
        <v>1</v>
      </c>
      <c r="X142" s="6" t="str">
        <f t="shared" si="5"/>
        <v>Não</v>
      </c>
    </row>
    <row r="143" spans="1:24" ht="15" customHeight="1" x14ac:dyDescent="0.3">
      <c r="A143" s="1" t="s">
        <v>487</v>
      </c>
      <c r="B143" s="1" t="s">
        <v>25</v>
      </c>
      <c r="C143" s="1" t="s">
        <v>481</v>
      </c>
      <c r="D143" s="1" t="s">
        <v>5</v>
      </c>
      <c r="E143" s="3">
        <v>46205.4284722222</v>
      </c>
      <c r="F143" s="3">
        <v>46216.75</v>
      </c>
      <c r="G143" s="3">
        <v>46216.75</v>
      </c>
      <c r="H143" s="1" t="s">
        <v>42</v>
      </c>
      <c r="I143" s="1" t="s">
        <v>488</v>
      </c>
      <c r="J143" s="1" t="s">
        <v>463</v>
      </c>
      <c r="K143" s="1" t="s">
        <v>51</v>
      </c>
      <c r="L143" s="1" t="s">
        <v>31</v>
      </c>
      <c r="M143" s="1" t="s">
        <v>32</v>
      </c>
      <c r="N143" s="4">
        <v>36</v>
      </c>
      <c r="O143" s="1" t="s">
        <v>46</v>
      </c>
      <c r="P143" s="1" t="s">
        <v>47</v>
      </c>
      <c r="Q143" s="1" t="s">
        <v>35</v>
      </c>
      <c r="R143" s="1" t="s">
        <v>36</v>
      </c>
      <c r="S143" s="5">
        <v>370620</v>
      </c>
      <c r="T143" s="1" t="s">
        <v>489</v>
      </c>
      <c r="U143" s="1" t="s">
        <v>38</v>
      </c>
      <c r="V143" s="3">
        <v>46209.718055555597</v>
      </c>
      <c r="W143" s="6">
        <f t="shared" si="4"/>
        <v>1</v>
      </c>
      <c r="X143" s="6" t="str">
        <f t="shared" si="5"/>
        <v>Não</v>
      </c>
    </row>
    <row r="144" spans="1:24" ht="15" customHeight="1" x14ac:dyDescent="0.3">
      <c r="A144" s="1" t="s">
        <v>490</v>
      </c>
      <c r="B144" s="1" t="s">
        <v>25</v>
      </c>
      <c r="C144" s="1" t="s">
        <v>481</v>
      </c>
      <c r="D144" s="1" t="s">
        <v>5</v>
      </c>
      <c r="E144" s="3">
        <v>46217.372222222199</v>
      </c>
      <c r="F144" s="3">
        <v>46224.708333333299</v>
      </c>
      <c r="G144" s="3">
        <v>46224.708333333299</v>
      </c>
      <c r="H144" s="1" t="s">
        <v>42</v>
      </c>
      <c r="I144" s="1" t="s">
        <v>491</v>
      </c>
      <c r="J144" s="1" t="s">
        <v>492</v>
      </c>
      <c r="K144" s="1" t="s">
        <v>30</v>
      </c>
      <c r="L144" s="1" t="s">
        <v>31</v>
      </c>
      <c r="M144" s="1" t="s">
        <v>62</v>
      </c>
      <c r="N144" s="4">
        <v>36</v>
      </c>
      <c r="O144" s="1" t="s">
        <v>246</v>
      </c>
      <c r="P144" s="1" t="s">
        <v>47</v>
      </c>
      <c r="Q144" s="1" t="s">
        <v>35</v>
      </c>
      <c r="R144" s="1" t="s">
        <v>36</v>
      </c>
      <c r="S144" s="5">
        <v>26760</v>
      </c>
      <c r="T144" s="1" t="s">
        <v>493</v>
      </c>
      <c r="U144" s="1" t="s">
        <v>38</v>
      </c>
      <c r="V144" s="3">
        <v>46217.681944444397</v>
      </c>
      <c r="W144" s="6">
        <f t="shared" si="4"/>
        <v>2</v>
      </c>
      <c r="X144" s="6" t="str">
        <f t="shared" si="5"/>
        <v>Sim</v>
      </c>
    </row>
    <row r="145" spans="1:24" ht="15" customHeight="1" x14ac:dyDescent="0.3">
      <c r="A145" s="1" t="s">
        <v>494</v>
      </c>
      <c r="B145" s="1" t="s">
        <v>25</v>
      </c>
      <c r="C145" s="1" t="s">
        <v>481</v>
      </c>
      <c r="D145" s="1" t="s">
        <v>5</v>
      </c>
      <c r="E145" s="3">
        <v>46175.6069444444</v>
      </c>
      <c r="F145" s="3">
        <v>46188.625</v>
      </c>
      <c r="G145" s="3">
        <v>46188.625</v>
      </c>
      <c r="H145" s="1" t="s">
        <v>42</v>
      </c>
      <c r="I145" s="1" t="s">
        <v>495</v>
      </c>
      <c r="J145" s="1" t="s">
        <v>492</v>
      </c>
      <c r="K145" s="1" t="s">
        <v>30</v>
      </c>
      <c r="L145" s="1" t="s">
        <v>31</v>
      </c>
      <c r="M145" s="1" t="s">
        <v>32</v>
      </c>
      <c r="N145" s="4">
        <v>36</v>
      </c>
      <c r="O145" s="1" t="s">
        <v>246</v>
      </c>
      <c r="P145" s="1" t="s">
        <v>47</v>
      </c>
      <c r="Q145" s="1" t="s">
        <v>35</v>
      </c>
      <c r="R145" s="1" t="s">
        <v>36</v>
      </c>
      <c r="S145" s="5">
        <v>518640</v>
      </c>
      <c r="T145" s="1" t="s">
        <v>496</v>
      </c>
      <c r="U145" s="1" t="s">
        <v>38</v>
      </c>
      <c r="V145" s="3">
        <v>46181.609722222202</v>
      </c>
      <c r="W145" s="6">
        <f t="shared" si="4"/>
        <v>2</v>
      </c>
      <c r="X145" s="6" t="str">
        <f t="shared" si="5"/>
        <v>Sim</v>
      </c>
    </row>
    <row r="146" spans="1:24" ht="15" customHeight="1" x14ac:dyDescent="0.3">
      <c r="A146" s="1" t="s">
        <v>497</v>
      </c>
      <c r="B146" s="1" t="s">
        <v>25</v>
      </c>
      <c r="C146" s="1" t="s">
        <v>481</v>
      </c>
      <c r="D146" s="1" t="s">
        <v>5</v>
      </c>
      <c r="E146" s="3">
        <v>46188.366666666698</v>
      </c>
      <c r="F146" s="3">
        <v>46198.625</v>
      </c>
      <c r="G146" s="3">
        <v>46198.625</v>
      </c>
      <c r="H146" s="1" t="s">
        <v>42</v>
      </c>
      <c r="I146" s="1" t="s">
        <v>498</v>
      </c>
      <c r="J146" s="1" t="s">
        <v>59</v>
      </c>
      <c r="K146" s="1" t="s">
        <v>30</v>
      </c>
      <c r="L146" s="1" t="s">
        <v>31</v>
      </c>
      <c r="M146" s="1" t="s">
        <v>62</v>
      </c>
      <c r="N146" s="4">
        <v>36</v>
      </c>
      <c r="O146" s="1" t="s">
        <v>46</v>
      </c>
      <c r="P146" s="1" t="s">
        <v>47</v>
      </c>
      <c r="Q146" s="1" t="s">
        <v>35</v>
      </c>
      <c r="R146" s="1" t="s">
        <v>36</v>
      </c>
      <c r="S146" s="5">
        <v>280140</v>
      </c>
      <c r="T146" s="1" t="s">
        <v>499</v>
      </c>
      <c r="U146" s="1" t="s">
        <v>38</v>
      </c>
      <c r="V146" s="3">
        <v>46191.609027777798</v>
      </c>
      <c r="W146" s="6">
        <f t="shared" si="4"/>
        <v>2</v>
      </c>
      <c r="X146" s="6" t="str">
        <f t="shared" si="5"/>
        <v>Sim</v>
      </c>
    </row>
    <row r="147" spans="1:24" ht="15" customHeight="1" x14ac:dyDescent="0.3">
      <c r="A147" s="1" t="s">
        <v>500</v>
      </c>
      <c r="B147" s="1" t="s">
        <v>25</v>
      </c>
      <c r="C147" s="1" t="s">
        <v>481</v>
      </c>
      <c r="D147" s="1" t="s">
        <v>5</v>
      </c>
      <c r="E147" s="3">
        <v>46262.517361111102</v>
      </c>
      <c r="F147" s="3">
        <v>46274.337500000001</v>
      </c>
      <c r="G147" s="3">
        <v>46274.337500000001</v>
      </c>
      <c r="H147" s="1" t="s">
        <v>501</v>
      </c>
      <c r="I147" s="1" t="s">
        <v>502</v>
      </c>
      <c r="J147" s="1" t="s">
        <v>503</v>
      </c>
      <c r="K147" s="1" t="s">
        <v>30</v>
      </c>
      <c r="L147" s="1" t="s">
        <v>31</v>
      </c>
      <c r="M147" s="1" t="s">
        <v>32</v>
      </c>
      <c r="N147" s="4">
        <v>36</v>
      </c>
      <c r="O147" s="1" t="s">
        <v>46</v>
      </c>
      <c r="P147" s="1" t="s">
        <v>176</v>
      </c>
      <c r="Q147" s="1" t="s">
        <v>35</v>
      </c>
      <c r="R147" s="1" t="s">
        <v>36</v>
      </c>
      <c r="S147" s="5">
        <v>450720</v>
      </c>
      <c r="T147" s="1" t="s">
        <v>504</v>
      </c>
      <c r="U147" s="1" t="s">
        <v>38</v>
      </c>
      <c r="V147" s="3">
        <v>46267.734027777798</v>
      </c>
      <c r="W147" s="6">
        <f t="shared" si="4"/>
        <v>1</v>
      </c>
      <c r="X147" s="6" t="str">
        <f t="shared" si="5"/>
        <v>Não</v>
      </c>
    </row>
    <row r="148" spans="1:24" ht="15" customHeight="1" x14ac:dyDescent="0.3">
      <c r="A148" s="1" t="s">
        <v>505</v>
      </c>
      <c r="B148" s="1" t="s">
        <v>25</v>
      </c>
      <c r="C148" s="1" t="s">
        <v>481</v>
      </c>
      <c r="D148" s="1" t="s">
        <v>5</v>
      </c>
      <c r="E148" s="3">
        <v>46260.685416666704</v>
      </c>
      <c r="F148" s="3">
        <v>46273.416666666701</v>
      </c>
      <c r="G148" s="3">
        <v>46273.416666666701</v>
      </c>
      <c r="H148" s="1" t="s">
        <v>42</v>
      </c>
      <c r="I148" s="1" t="s">
        <v>506</v>
      </c>
      <c r="J148" s="1" t="s">
        <v>59</v>
      </c>
      <c r="K148" s="1" t="s">
        <v>30</v>
      </c>
      <c r="L148" s="1" t="s">
        <v>31</v>
      </c>
      <c r="M148" s="1" t="s">
        <v>45</v>
      </c>
      <c r="N148" s="4">
        <v>36</v>
      </c>
      <c r="O148" s="1" t="s">
        <v>46</v>
      </c>
      <c r="P148" s="1" t="s">
        <v>47</v>
      </c>
      <c r="Q148" s="1" t="s">
        <v>35</v>
      </c>
      <c r="R148" s="1" t="s">
        <v>36</v>
      </c>
      <c r="S148" s="5">
        <v>491820</v>
      </c>
      <c r="T148" s="1" t="s">
        <v>507</v>
      </c>
      <c r="U148" s="1" t="s">
        <v>38</v>
      </c>
      <c r="V148" s="3">
        <v>46266.377777777801</v>
      </c>
      <c r="W148" s="6">
        <f t="shared" si="4"/>
        <v>2</v>
      </c>
      <c r="X148" s="6" t="str">
        <f t="shared" si="5"/>
        <v>Sim</v>
      </c>
    </row>
    <row r="149" spans="1:24" ht="15" customHeight="1" x14ac:dyDescent="0.3">
      <c r="A149" s="1" t="s">
        <v>508</v>
      </c>
      <c r="B149" s="1" t="s">
        <v>25</v>
      </c>
      <c r="C149" s="1" t="s">
        <v>481</v>
      </c>
      <c r="D149" s="1" t="s">
        <v>408</v>
      </c>
      <c r="E149" s="3">
        <v>46224.4597222222</v>
      </c>
      <c r="F149" s="3">
        <v>46225.3840277778</v>
      </c>
      <c r="G149" s="3">
        <v>46225.3840277778</v>
      </c>
      <c r="H149" s="1" t="s">
        <v>42</v>
      </c>
      <c r="I149" s="1" t="s">
        <v>509</v>
      </c>
      <c r="J149" s="1" t="s">
        <v>510</v>
      </c>
      <c r="K149" s="1" t="s">
        <v>30</v>
      </c>
      <c r="L149" s="1" t="s">
        <v>31</v>
      </c>
      <c r="M149" s="1" t="s">
        <v>32</v>
      </c>
      <c r="N149" s="4">
        <v>36</v>
      </c>
      <c r="O149" s="1" t="s">
        <v>46</v>
      </c>
      <c r="P149" s="1" t="s">
        <v>47</v>
      </c>
      <c r="R149" s="1" t="s">
        <v>36</v>
      </c>
      <c r="S149" s="5">
        <v>79860</v>
      </c>
      <c r="U149" s="1" t="s">
        <v>38</v>
      </c>
      <c r="V149" s="3"/>
      <c r="W149" s="6">
        <f t="shared" si="4"/>
        <v>1</v>
      </c>
      <c r="X149" s="6" t="str">
        <f t="shared" si="5"/>
        <v>Não</v>
      </c>
    </row>
    <row r="150" spans="1:24" ht="15" customHeight="1" x14ac:dyDescent="0.3">
      <c r="A150" s="1" t="s">
        <v>511</v>
      </c>
      <c r="B150" s="1" t="s">
        <v>25</v>
      </c>
      <c r="C150" s="1" t="s">
        <v>481</v>
      </c>
      <c r="D150" s="1" t="s">
        <v>408</v>
      </c>
      <c r="E150" s="3">
        <v>46217.502083333296</v>
      </c>
      <c r="F150" s="3">
        <v>46219.598611111098</v>
      </c>
      <c r="G150" s="3">
        <v>46219.598611111098</v>
      </c>
      <c r="H150" s="1" t="s">
        <v>42</v>
      </c>
      <c r="I150" s="1" t="s">
        <v>512</v>
      </c>
      <c r="J150" s="1" t="s">
        <v>123</v>
      </c>
      <c r="K150" s="1" t="s">
        <v>51</v>
      </c>
      <c r="L150" s="1" t="s">
        <v>31</v>
      </c>
      <c r="M150" s="1" t="s">
        <v>32</v>
      </c>
      <c r="N150" s="4">
        <v>36</v>
      </c>
      <c r="O150" s="1" t="s">
        <v>46</v>
      </c>
      <c r="P150" s="1" t="s">
        <v>47</v>
      </c>
      <c r="R150" s="1" t="s">
        <v>36</v>
      </c>
      <c r="S150" s="5">
        <v>181140</v>
      </c>
      <c r="U150" s="1" t="s">
        <v>38</v>
      </c>
      <c r="V150" s="3"/>
      <c r="W150" s="6">
        <f t="shared" si="4"/>
        <v>2</v>
      </c>
      <c r="X150" s="6" t="str">
        <f t="shared" si="5"/>
        <v>Sim</v>
      </c>
    </row>
    <row r="151" spans="1:24" ht="15" customHeight="1" x14ac:dyDescent="0.3">
      <c r="A151" s="1" t="s">
        <v>513</v>
      </c>
      <c r="B151" s="1" t="s">
        <v>25</v>
      </c>
      <c r="C151" s="1" t="s">
        <v>514</v>
      </c>
      <c r="D151" s="1" t="s">
        <v>5</v>
      </c>
      <c r="E151" s="3">
        <v>46190.463888888902</v>
      </c>
      <c r="F151" s="3">
        <v>46198.666666666701</v>
      </c>
      <c r="G151" s="3">
        <v>46198.666666666701</v>
      </c>
      <c r="H151" s="1" t="s">
        <v>42</v>
      </c>
      <c r="I151" s="1" t="s">
        <v>515</v>
      </c>
      <c r="J151" s="1" t="s">
        <v>44</v>
      </c>
      <c r="K151" s="1" t="s">
        <v>30</v>
      </c>
      <c r="L151" s="1" t="s">
        <v>31</v>
      </c>
      <c r="M151" s="1" t="s">
        <v>32</v>
      </c>
      <c r="N151" s="4">
        <v>36</v>
      </c>
      <c r="O151" s="1" t="s">
        <v>46</v>
      </c>
      <c r="P151" s="1" t="s">
        <v>47</v>
      </c>
      <c r="Q151" s="1" t="s">
        <v>68</v>
      </c>
      <c r="R151" s="1" t="s">
        <v>36</v>
      </c>
      <c r="S151" s="5">
        <v>100320</v>
      </c>
      <c r="T151" s="1" t="s">
        <v>434</v>
      </c>
      <c r="U151" s="1" t="s">
        <v>38</v>
      </c>
      <c r="V151" s="3">
        <v>46191.625</v>
      </c>
      <c r="W151" s="6">
        <f t="shared" si="4"/>
        <v>1</v>
      </c>
      <c r="X151" s="6" t="str">
        <f t="shared" si="5"/>
        <v>Não</v>
      </c>
    </row>
    <row r="152" spans="1:24" ht="15" customHeight="1" x14ac:dyDescent="0.3">
      <c r="A152" s="1" t="s">
        <v>516</v>
      </c>
      <c r="B152" s="1" t="s">
        <v>25</v>
      </c>
      <c r="C152" s="1" t="s">
        <v>517</v>
      </c>
      <c r="D152" s="1" t="s">
        <v>49</v>
      </c>
      <c r="E152" s="3">
        <v>46274.420833333301</v>
      </c>
      <c r="F152" s="3"/>
      <c r="G152" s="3">
        <v>46275.422916666699</v>
      </c>
      <c r="H152" s="1" t="s">
        <v>42</v>
      </c>
      <c r="I152" s="1" t="s">
        <v>518</v>
      </c>
      <c r="J152" s="1" t="s">
        <v>519</v>
      </c>
      <c r="K152" s="1" t="s">
        <v>30</v>
      </c>
      <c r="L152" s="1" t="s">
        <v>31</v>
      </c>
      <c r="M152" s="1" t="s">
        <v>45</v>
      </c>
      <c r="N152" s="4">
        <v>36</v>
      </c>
      <c r="O152" s="1" t="s">
        <v>46</v>
      </c>
      <c r="P152" s="1" t="s">
        <v>520</v>
      </c>
      <c r="R152" s="1" t="s">
        <v>36</v>
      </c>
      <c r="S152" s="5"/>
      <c r="U152" s="1" t="s">
        <v>38</v>
      </c>
      <c r="V152" s="3"/>
      <c r="W152" s="6">
        <f t="shared" si="4"/>
        <v>1</v>
      </c>
      <c r="X152" s="6" t="str">
        <f t="shared" si="5"/>
        <v>Não</v>
      </c>
    </row>
    <row r="153" spans="1:24" ht="15" customHeight="1" x14ac:dyDescent="0.3">
      <c r="A153" s="1" t="s">
        <v>521</v>
      </c>
      <c r="B153" s="1" t="s">
        <v>25</v>
      </c>
      <c r="C153" s="1" t="s">
        <v>517</v>
      </c>
      <c r="D153" s="1" t="s">
        <v>21</v>
      </c>
      <c r="E153" s="3">
        <v>46268.517361111102</v>
      </c>
      <c r="F153" s="3"/>
      <c r="G153" s="3">
        <v>46273.661111111098</v>
      </c>
      <c r="H153" s="1" t="s">
        <v>42</v>
      </c>
      <c r="I153" s="1" t="s">
        <v>522</v>
      </c>
      <c r="J153" s="1" t="s">
        <v>523</v>
      </c>
      <c r="K153" s="1" t="s">
        <v>30</v>
      </c>
      <c r="L153" s="1" t="s">
        <v>31</v>
      </c>
      <c r="M153" s="1" t="s">
        <v>32</v>
      </c>
      <c r="N153" s="4">
        <v>36</v>
      </c>
      <c r="O153" s="1" t="s">
        <v>46</v>
      </c>
      <c r="P153" s="1" t="s">
        <v>524</v>
      </c>
      <c r="Q153" s="1" t="s">
        <v>68</v>
      </c>
      <c r="R153" s="1" t="s">
        <v>36</v>
      </c>
      <c r="S153" s="5">
        <v>444420</v>
      </c>
      <c r="T153" s="1" t="s">
        <v>434</v>
      </c>
      <c r="U153" s="1" t="s">
        <v>38</v>
      </c>
      <c r="V153" s="3">
        <v>46273.661111111098</v>
      </c>
      <c r="W153" s="6">
        <f t="shared" si="4"/>
        <v>1</v>
      </c>
      <c r="X153" s="6" t="str">
        <f t="shared" si="5"/>
        <v>Não</v>
      </c>
    </row>
    <row r="154" spans="1:24" ht="15" customHeight="1" x14ac:dyDescent="0.3">
      <c r="A154" s="1" t="s">
        <v>525</v>
      </c>
      <c r="B154" s="1" t="s">
        <v>25</v>
      </c>
      <c r="C154" s="1" t="s">
        <v>517</v>
      </c>
      <c r="D154" s="1" t="s">
        <v>5</v>
      </c>
      <c r="E154" s="3">
        <v>46199.724999999999</v>
      </c>
      <c r="F154" s="3">
        <v>46209.459027777797</v>
      </c>
      <c r="G154" s="3">
        <v>46209.459027777797</v>
      </c>
      <c r="H154" s="1" t="s">
        <v>42</v>
      </c>
      <c r="I154" s="1" t="s">
        <v>526</v>
      </c>
      <c r="J154" s="1" t="s">
        <v>527</v>
      </c>
      <c r="K154" s="1" t="s">
        <v>30</v>
      </c>
      <c r="L154" s="1" t="s">
        <v>31</v>
      </c>
      <c r="M154" s="1" t="s">
        <v>45</v>
      </c>
      <c r="N154" s="4">
        <v>36</v>
      </c>
      <c r="O154" s="1" t="s">
        <v>46</v>
      </c>
      <c r="P154" s="1" t="s">
        <v>528</v>
      </c>
      <c r="Q154" s="1" t="s">
        <v>35</v>
      </c>
      <c r="R154" s="1" t="s">
        <v>36</v>
      </c>
      <c r="S154" s="5">
        <v>232680</v>
      </c>
      <c r="T154" s="1" t="s">
        <v>529</v>
      </c>
      <c r="U154" s="1" t="s">
        <v>38</v>
      </c>
      <c r="V154" s="3">
        <v>46202.418055555601</v>
      </c>
      <c r="W154" s="6">
        <f t="shared" si="4"/>
        <v>1</v>
      </c>
      <c r="X154" s="6" t="str">
        <f t="shared" si="5"/>
        <v>Não</v>
      </c>
    </row>
    <row r="155" spans="1:24" ht="15" customHeight="1" x14ac:dyDescent="0.3">
      <c r="A155" s="1" t="s">
        <v>530</v>
      </c>
      <c r="B155" s="1" t="s">
        <v>25</v>
      </c>
      <c r="C155" s="1" t="s">
        <v>517</v>
      </c>
      <c r="D155" s="1" t="s">
        <v>5</v>
      </c>
      <c r="E155" s="3">
        <v>46186.499305555597</v>
      </c>
      <c r="F155" s="3">
        <v>46193.708333333299</v>
      </c>
      <c r="G155" s="3">
        <v>46193.708333333299</v>
      </c>
      <c r="H155" s="1" t="s">
        <v>42</v>
      </c>
      <c r="I155" s="1" t="s">
        <v>531</v>
      </c>
      <c r="J155" s="1" t="s">
        <v>178</v>
      </c>
      <c r="K155" s="1" t="s">
        <v>30</v>
      </c>
      <c r="L155" s="1" t="s">
        <v>31</v>
      </c>
      <c r="M155" s="1" t="s">
        <v>143</v>
      </c>
      <c r="N155" s="4">
        <v>36</v>
      </c>
      <c r="O155" s="1" t="s">
        <v>46</v>
      </c>
      <c r="P155" s="1" t="s">
        <v>433</v>
      </c>
      <c r="Q155" s="1" t="s">
        <v>145</v>
      </c>
      <c r="R155" s="1" t="s">
        <v>36</v>
      </c>
      <c r="S155" s="5">
        <v>16920</v>
      </c>
      <c r="T155" s="1" t="s">
        <v>146</v>
      </c>
      <c r="U155" s="1" t="s">
        <v>38</v>
      </c>
      <c r="V155" s="3">
        <v>46186.695138888899</v>
      </c>
      <c r="W155" s="6">
        <f t="shared" si="4"/>
        <v>1</v>
      </c>
      <c r="X155" s="6" t="str">
        <f t="shared" si="5"/>
        <v>Não</v>
      </c>
    </row>
    <row r="156" spans="1:24" ht="15" customHeight="1" x14ac:dyDescent="0.3">
      <c r="A156" s="1" t="s">
        <v>532</v>
      </c>
      <c r="B156" s="1" t="s">
        <v>25</v>
      </c>
      <c r="C156" s="1" t="s">
        <v>517</v>
      </c>
      <c r="D156" s="1" t="s">
        <v>5</v>
      </c>
      <c r="E156" s="3">
        <v>46190.572916666701</v>
      </c>
      <c r="F156" s="3">
        <v>46198.7590277778</v>
      </c>
      <c r="G156" s="3">
        <v>46198.7590277778</v>
      </c>
      <c r="H156" s="1" t="s">
        <v>42</v>
      </c>
      <c r="I156" s="1" t="s">
        <v>533</v>
      </c>
      <c r="J156" s="1" t="s">
        <v>534</v>
      </c>
      <c r="K156" s="1" t="s">
        <v>51</v>
      </c>
      <c r="L156" s="1" t="s">
        <v>31</v>
      </c>
      <c r="M156" s="1" t="s">
        <v>32</v>
      </c>
      <c r="N156" s="4">
        <v>36</v>
      </c>
      <c r="O156" s="1" t="s">
        <v>46</v>
      </c>
      <c r="P156" s="1" t="s">
        <v>535</v>
      </c>
      <c r="Q156" s="1" t="s">
        <v>68</v>
      </c>
      <c r="R156" s="1" t="s">
        <v>36</v>
      </c>
      <c r="S156" s="5">
        <v>161820</v>
      </c>
      <c r="T156" s="1" t="s">
        <v>69</v>
      </c>
      <c r="U156" s="1" t="s">
        <v>38</v>
      </c>
      <c r="V156" s="3">
        <v>46192.445833333302</v>
      </c>
      <c r="W156" s="6">
        <f t="shared" si="4"/>
        <v>1</v>
      </c>
      <c r="X156" s="6" t="str">
        <f t="shared" si="5"/>
        <v>Não</v>
      </c>
    </row>
    <row r="157" spans="1:24" ht="15" customHeight="1" x14ac:dyDescent="0.3">
      <c r="A157" s="1" t="s">
        <v>536</v>
      </c>
      <c r="B157" s="1" t="s">
        <v>25</v>
      </c>
      <c r="C157" s="1" t="s">
        <v>517</v>
      </c>
      <c r="D157" s="1" t="s">
        <v>5</v>
      </c>
      <c r="E157" s="3">
        <v>46181.341666666704</v>
      </c>
      <c r="F157" s="3">
        <v>46188.708333333299</v>
      </c>
      <c r="G157" s="3">
        <v>46188.708333333299</v>
      </c>
      <c r="H157" s="1" t="s">
        <v>42</v>
      </c>
      <c r="I157" s="1" t="s">
        <v>537</v>
      </c>
      <c r="J157" s="1" t="s">
        <v>538</v>
      </c>
      <c r="K157" s="1" t="s">
        <v>51</v>
      </c>
      <c r="L157" s="1" t="s">
        <v>31</v>
      </c>
      <c r="M157" s="1" t="s">
        <v>45</v>
      </c>
      <c r="N157" s="4">
        <v>36</v>
      </c>
      <c r="O157" s="1" t="s">
        <v>46</v>
      </c>
      <c r="P157" s="1" t="s">
        <v>528</v>
      </c>
      <c r="Q157" s="1" t="s">
        <v>68</v>
      </c>
      <c r="R157" s="1" t="s">
        <v>36</v>
      </c>
      <c r="S157" s="5">
        <v>28620</v>
      </c>
      <c r="T157" s="1" t="s">
        <v>539</v>
      </c>
      <c r="U157" s="1" t="s">
        <v>38</v>
      </c>
      <c r="V157" s="3">
        <v>46181.672916666699</v>
      </c>
      <c r="W157" s="6">
        <f t="shared" si="4"/>
        <v>1</v>
      </c>
      <c r="X157" s="6" t="str">
        <f t="shared" si="5"/>
        <v>Não</v>
      </c>
    </row>
    <row r="158" spans="1:24" ht="15" customHeight="1" x14ac:dyDescent="0.3">
      <c r="A158" s="1" t="s">
        <v>540</v>
      </c>
      <c r="B158" s="1" t="s">
        <v>25</v>
      </c>
      <c r="C158" s="1" t="s">
        <v>517</v>
      </c>
      <c r="D158" s="1" t="s">
        <v>5</v>
      </c>
      <c r="E158" s="3">
        <v>46175.738194444399</v>
      </c>
      <c r="F158" s="3">
        <v>46183.584027777797</v>
      </c>
      <c r="G158" s="3">
        <v>46183.584027777797</v>
      </c>
      <c r="H158" s="1" t="s">
        <v>42</v>
      </c>
      <c r="I158" s="1" t="s">
        <v>541</v>
      </c>
      <c r="J158" s="1" t="s">
        <v>542</v>
      </c>
      <c r="K158" s="1" t="s">
        <v>51</v>
      </c>
      <c r="L158" s="1" t="s">
        <v>31</v>
      </c>
      <c r="M158" s="1" t="s">
        <v>45</v>
      </c>
      <c r="N158" s="4">
        <v>36</v>
      </c>
      <c r="O158" s="1" t="s">
        <v>46</v>
      </c>
      <c r="P158" s="1" t="s">
        <v>543</v>
      </c>
      <c r="Q158" s="1" t="s">
        <v>35</v>
      </c>
      <c r="R158" s="1" t="s">
        <v>36</v>
      </c>
      <c r="S158" s="5">
        <v>72900</v>
      </c>
      <c r="T158" s="1" t="s">
        <v>544</v>
      </c>
      <c r="U158" s="1" t="s">
        <v>38</v>
      </c>
      <c r="V158" s="3">
        <v>46176.581944444399</v>
      </c>
      <c r="W158" s="6">
        <f t="shared" si="4"/>
        <v>1</v>
      </c>
      <c r="X158" s="6" t="str">
        <f t="shared" si="5"/>
        <v>Não</v>
      </c>
    </row>
    <row r="159" spans="1:24" ht="15" customHeight="1" x14ac:dyDescent="0.3">
      <c r="A159" s="1" t="s">
        <v>545</v>
      </c>
      <c r="B159" s="1" t="s">
        <v>25</v>
      </c>
      <c r="C159" s="1" t="s">
        <v>517</v>
      </c>
      <c r="D159" s="1" t="s">
        <v>5</v>
      </c>
      <c r="E159" s="3">
        <v>46184.532638888901</v>
      </c>
      <c r="F159" s="3">
        <v>46195.625</v>
      </c>
      <c r="G159" s="3">
        <v>46195.625</v>
      </c>
      <c r="H159" s="1" t="s">
        <v>42</v>
      </c>
      <c r="I159" s="1" t="s">
        <v>546</v>
      </c>
      <c r="J159" s="1" t="s">
        <v>101</v>
      </c>
      <c r="K159" s="1" t="s">
        <v>30</v>
      </c>
      <c r="L159" s="1" t="s">
        <v>31</v>
      </c>
      <c r="M159" s="1" t="s">
        <v>45</v>
      </c>
      <c r="N159" s="4">
        <v>36</v>
      </c>
      <c r="O159" s="1" t="s">
        <v>46</v>
      </c>
      <c r="P159" s="1" t="s">
        <v>47</v>
      </c>
      <c r="Q159" s="1" t="s">
        <v>68</v>
      </c>
      <c r="R159" s="1" t="s">
        <v>36</v>
      </c>
      <c r="S159" s="5">
        <v>350340</v>
      </c>
      <c r="T159" s="1" t="s">
        <v>547</v>
      </c>
      <c r="U159" s="1" t="s">
        <v>38</v>
      </c>
      <c r="V159" s="3">
        <v>46188.587500000001</v>
      </c>
      <c r="W159" s="6">
        <f t="shared" si="4"/>
        <v>1</v>
      </c>
      <c r="X159" s="6" t="str">
        <f t="shared" si="5"/>
        <v>Não</v>
      </c>
    </row>
    <row r="160" spans="1:24" ht="15" customHeight="1" x14ac:dyDescent="0.3">
      <c r="A160" s="1" t="s">
        <v>548</v>
      </c>
      <c r="B160" s="1" t="s">
        <v>25</v>
      </c>
      <c r="C160" s="1" t="s">
        <v>517</v>
      </c>
      <c r="D160" s="1" t="s">
        <v>5</v>
      </c>
      <c r="E160" s="3">
        <v>46189.403472222199</v>
      </c>
      <c r="F160" s="3">
        <v>46196.458333333299</v>
      </c>
      <c r="G160" s="3">
        <v>46196.458333333299</v>
      </c>
      <c r="H160" s="1" t="s">
        <v>42</v>
      </c>
      <c r="I160" s="1" t="s">
        <v>549</v>
      </c>
      <c r="J160" s="1" t="s">
        <v>550</v>
      </c>
      <c r="K160" s="1" t="s">
        <v>30</v>
      </c>
      <c r="L160" s="1" t="s">
        <v>31</v>
      </c>
      <c r="M160" s="1" t="s">
        <v>45</v>
      </c>
      <c r="N160" s="4">
        <v>36</v>
      </c>
      <c r="O160" s="1" t="s">
        <v>46</v>
      </c>
      <c r="P160" s="1" t="s">
        <v>47</v>
      </c>
      <c r="Q160" s="1" t="s">
        <v>35</v>
      </c>
      <c r="R160" s="1" t="s">
        <v>36</v>
      </c>
      <c r="S160" s="5">
        <v>3060</v>
      </c>
      <c r="T160" s="1" t="s">
        <v>551</v>
      </c>
      <c r="U160" s="1" t="s">
        <v>38</v>
      </c>
      <c r="V160" s="3">
        <v>46189.438888888901</v>
      </c>
      <c r="W160" s="6">
        <f t="shared" si="4"/>
        <v>1</v>
      </c>
      <c r="X160" s="6" t="str">
        <f t="shared" si="5"/>
        <v>Não</v>
      </c>
    </row>
    <row r="161" spans="1:24" ht="15" customHeight="1" x14ac:dyDescent="0.3">
      <c r="A161" s="1" t="s">
        <v>552</v>
      </c>
      <c r="B161" s="1" t="s">
        <v>25</v>
      </c>
      <c r="C161" s="1" t="s">
        <v>517</v>
      </c>
      <c r="D161" s="1" t="s">
        <v>5</v>
      </c>
      <c r="E161" s="3">
        <v>46266.845138888901</v>
      </c>
      <c r="F161" s="3">
        <v>46275.459027777797</v>
      </c>
      <c r="G161" s="3">
        <v>46275.459027777797</v>
      </c>
      <c r="H161" s="1" t="s">
        <v>42</v>
      </c>
      <c r="I161" s="1" t="s">
        <v>553</v>
      </c>
      <c r="J161" s="1" t="s">
        <v>279</v>
      </c>
      <c r="K161" s="1" t="s">
        <v>30</v>
      </c>
      <c r="L161" s="1" t="s">
        <v>31</v>
      </c>
      <c r="M161" s="1" t="s">
        <v>45</v>
      </c>
      <c r="N161" s="4">
        <v>36</v>
      </c>
      <c r="O161" s="1" t="s">
        <v>46</v>
      </c>
      <c r="P161" s="1" t="s">
        <v>554</v>
      </c>
      <c r="Q161" s="1" t="s">
        <v>35</v>
      </c>
      <c r="R161" s="1" t="s">
        <v>36</v>
      </c>
      <c r="S161" s="5">
        <v>137400</v>
      </c>
      <c r="T161" s="1" t="s">
        <v>555</v>
      </c>
      <c r="U161" s="1" t="s">
        <v>38</v>
      </c>
      <c r="V161" s="3">
        <v>46268.435416666704</v>
      </c>
      <c r="W161" s="6">
        <f t="shared" si="4"/>
        <v>2</v>
      </c>
      <c r="X161" s="6" t="str">
        <f t="shared" si="5"/>
        <v>Sim</v>
      </c>
    </row>
    <row r="162" spans="1:24" ht="15" customHeight="1" x14ac:dyDescent="0.3">
      <c r="A162" s="1" t="s">
        <v>556</v>
      </c>
      <c r="B162" s="1" t="s">
        <v>25</v>
      </c>
      <c r="C162" s="1" t="s">
        <v>517</v>
      </c>
      <c r="D162" s="1" t="s">
        <v>5</v>
      </c>
      <c r="E162" s="3">
        <v>46256.559027777803</v>
      </c>
      <c r="F162" s="3">
        <v>46260.613888888904</v>
      </c>
      <c r="G162" s="3">
        <v>46260.613888888904</v>
      </c>
      <c r="H162" s="1" t="s">
        <v>42</v>
      </c>
      <c r="I162" s="1" t="s">
        <v>557</v>
      </c>
      <c r="J162" s="1" t="s">
        <v>558</v>
      </c>
      <c r="K162" s="1" t="s">
        <v>30</v>
      </c>
      <c r="L162" s="1" t="s">
        <v>31</v>
      </c>
      <c r="M162" s="1" t="s">
        <v>32</v>
      </c>
      <c r="N162" s="4">
        <v>36</v>
      </c>
      <c r="O162" s="1" t="s">
        <v>46</v>
      </c>
      <c r="P162" s="1" t="s">
        <v>559</v>
      </c>
      <c r="Q162" s="1" t="s">
        <v>68</v>
      </c>
      <c r="R162" s="1" t="s">
        <v>36</v>
      </c>
      <c r="S162" s="5">
        <v>269400</v>
      </c>
      <c r="T162" s="1" t="s">
        <v>69</v>
      </c>
      <c r="U162" s="1" t="s">
        <v>38</v>
      </c>
      <c r="V162" s="3">
        <v>46259.677083333299</v>
      </c>
      <c r="W162" s="6">
        <f t="shared" si="4"/>
        <v>1</v>
      </c>
      <c r="X162" s="6" t="str">
        <f t="shared" si="5"/>
        <v>Não</v>
      </c>
    </row>
    <row r="163" spans="1:24" ht="15" customHeight="1" x14ac:dyDescent="0.3">
      <c r="A163" s="1" t="s">
        <v>560</v>
      </c>
      <c r="B163" s="1" t="s">
        <v>25</v>
      </c>
      <c r="C163" s="1" t="s">
        <v>517</v>
      </c>
      <c r="D163" s="1" t="s">
        <v>5</v>
      </c>
      <c r="E163" s="3">
        <v>46258.680555555598</v>
      </c>
      <c r="F163" s="3">
        <v>46266.5</v>
      </c>
      <c r="G163" s="3">
        <v>46266.5</v>
      </c>
      <c r="H163" s="1" t="s">
        <v>42</v>
      </c>
      <c r="I163" s="1" t="s">
        <v>561</v>
      </c>
      <c r="J163" s="1" t="s">
        <v>214</v>
      </c>
      <c r="K163" s="1" t="s">
        <v>30</v>
      </c>
      <c r="L163" s="1" t="s">
        <v>31</v>
      </c>
      <c r="M163" s="1" t="s">
        <v>45</v>
      </c>
      <c r="N163" s="4">
        <v>36</v>
      </c>
      <c r="O163" s="1" t="s">
        <v>46</v>
      </c>
      <c r="P163" s="1" t="s">
        <v>562</v>
      </c>
      <c r="Q163" s="1" t="s">
        <v>68</v>
      </c>
      <c r="R163" s="1" t="s">
        <v>36</v>
      </c>
      <c r="S163" s="5">
        <v>68160</v>
      </c>
      <c r="T163" s="1" t="s">
        <v>563</v>
      </c>
      <c r="U163" s="1" t="s">
        <v>38</v>
      </c>
      <c r="V163" s="3">
        <v>46259.469444444498</v>
      </c>
      <c r="W163" s="6">
        <f t="shared" si="4"/>
        <v>1</v>
      </c>
      <c r="X163" s="6" t="str">
        <f t="shared" si="5"/>
        <v>Não</v>
      </c>
    </row>
    <row r="164" spans="1:24" ht="15" customHeight="1" x14ac:dyDescent="0.3">
      <c r="A164" s="1" t="s">
        <v>564</v>
      </c>
      <c r="B164" s="1" t="s">
        <v>25</v>
      </c>
      <c r="C164" s="1" t="s">
        <v>517</v>
      </c>
      <c r="D164" s="1" t="s">
        <v>5</v>
      </c>
      <c r="E164" s="3">
        <v>46265.597916666702</v>
      </c>
      <c r="F164" s="3">
        <v>46272.750694444498</v>
      </c>
      <c r="G164" s="3">
        <v>46272.750694444498</v>
      </c>
      <c r="H164" s="1" t="s">
        <v>42</v>
      </c>
      <c r="I164" s="1" t="s">
        <v>565</v>
      </c>
      <c r="J164" s="1" t="s">
        <v>566</v>
      </c>
      <c r="K164" s="1" t="s">
        <v>30</v>
      </c>
      <c r="L164" s="1" t="s">
        <v>31</v>
      </c>
      <c r="M164" s="1" t="s">
        <v>45</v>
      </c>
      <c r="N164" s="4">
        <v>36</v>
      </c>
      <c r="O164" s="1" t="s">
        <v>46</v>
      </c>
      <c r="P164" s="1" t="s">
        <v>567</v>
      </c>
      <c r="Q164" s="1" t="s">
        <v>35</v>
      </c>
      <c r="R164" s="1" t="s">
        <v>36</v>
      </c>
      <c r="S164" s="5">
        <v>9660</v>
      </c>
      <c r="T164" s="1" t="s">
        <v>568</v>
      </c>
      <c r="U164" s="1" t="s">
        <v>38</v>
      </c>
      <c r="V164" s="3">
        <v>46265.7097222222</v>
      </c>
      <c r="W164" s="6">
        <f t="shared" si="4"/>
        <v>1</v>
      </c>
      <c r="X164" s="6" t="str">
        <f t="shared" si="5"/>
        <v>Não</v>
      </c>
    </row>
    <row r="165" spans="1:24" ht="15" customHeight="1" x14ac:dyDescent="0.3">
      <c r="A165" s="1" t="s">
        <v>569</v>
      </c>
      <c r="B165" s="1" t="s">
        <v>25</v>
      </c>
      <c r="C165" s="1" t="s">
        <v>517</v>
      </c>
      <c r="D165" s="1" t="s">
        <v>5</v>
      </c>
      <c r="E165" s="3">
        <v>46251.709027777797</v>
      </c>
      <c r="F165" s="3">
        <v>46259.625</v>
      </c>
      <c r="G165" s="3">
        <v>46273.423611111102</v>
      </c>
      <c r="H165" s="1" t="s">
        <v>42</v>
      </c>
      <c r="I165" s="1" t="s">
        <v>570</v>
      </c>
      <c r="J165" s="1" t="s">
        <v>66</v>
      </c>
      <c r="K165" s="1" t="s">
        <v>30</v>
      </c>
      <c r="L165" s="1" t="s">
        <v>31</v>
      </c>
      <c r="M165" s="1" t="s">
        <v>32</v>
      </c>
      <c r="N165" s="4">
        <v>36</v>
      </c>
      <c r="O165" s="1" t="s">
        <v>46</v>
      </c>
      <c r="P165" s="1" t="s">
        <v>67</v>
      </c>
      <c r="Q165" s="1" t="s">
        <v>68</v>
      </c>
      <c r="R165" s="1" t="s">
        <v>36</v>
      </c>
      <c r="S165" s="5">
        <v>77700</v>
      </c>
      <c r="T165" s="1" t="s">
        <v>69</v>
      </c>
      <c r="U165" s="1" t="s">
        <v>38</v>
      </c>
      <c r="V165" s="3">
        <v>46252.608333333301</v>
      </c>
      <c r="W165" s="6">
        <f t="shared" si="4"/>
        <v>1</v>
      </c>
      <c r="X165" s="6" t="str">
        <f t="shared" si="5"/>
        <v>Não</v>
      </c>
    </row>
    <row r="166" spans="1:24" ht="15" customHeight="1" x14ac:dyDescent="0.3">
      <c r="A166" s="1" t="s">
        <v>571</v>
      </c>
      <c r="B166" s="1" t="s">
        <v>25</v>
      </c>
      <c r="C166" s="1" t="s">
        <v>517</v>
      </c>
      <c r="D166" s="1" t="s">
        <v>5</v>
      </c>
      <c r="E166" s="3">
        <v>46267.831250000003</v>
      </c>
      <c r="F166" s="3">
        <v>46275.458333333299</v>
      </c>
      <c r="G166" s="3">
        <v>46275.458333333299</v>
      </c>
      <c r="H166" s="1" t="s">
        <v>42</v>
      </c>
      <c r="I166" s="1" t="s">
        <v>572</v>
      </c>
      <c r="J166" s="1" t="s">
        <v>279</v>
      </c>
      <c r="K166" s="1" t="s">
        <v>30</v>
      </c>
      <c r="L166" s="1" t="s">
        <v>31</v>
      </c>
      <c r="M166" s="1" t="s">
        <v>45</v>
      </c>
      <c r="N166" s="4">
        <v>36</v>
      </c>
      <c r="O166" s="1" t="s">
        <v>46</v>
      </c>
      <c r="P166" s="1" t="s">
        <v>554</v>
      </c>
      <c r="Q166" s="1" t="s">
        <v>35</v>
      </c>
      <c r="R166" s="1" t="s">
        <v>36</v>
      </c>
      <c r="S166" s="5">
        <v>50640</v>
      </c>
      <c r="T166" s="1" t="s">
        <v>573</v>
      </c>
      <c r="U166" s="1" t="s">
        <v>38</v>
      </c>
      <c r="V166" s="3">
        <v>46268.417361111096</v>
      </c>
      <c r="W166" s="6">
        <f t="shared" si="4"/>
        <v>2</v>
      </c>
      <c r="X166" s="6" t="str">
        <f t="shared" si="5"/>
        <v>Sim</v>
      </c>
    </row>
    <row r="167" spans="1:24" ht="15" customHeight="1" x14ac:dyDescent="0.3">
      <c r="A167" s="1" t="s">
        <v>574</v>
      </c>
      <c r="B167" s="1" t="s">
        <v>25</v>
      </c>
      <c r="C167" s="1" t="s">
        <v>517</v>
      </c>
      <c r="D167" s="1" t="s">
        <v>5</v>
      </c>
      <c r="E167" s="3">
        <v>46226.459027777797</v>
      </c>
      <c r="F167" s="3">
        <v>46233.625</v>
      </c>
      <c r="G167" s="3">
        <v>46233.625</v>
      </c>
      <c r="H167" s="1" t="s">
        <v>42</v>
      </c>
      <c r="I167" s="1" t="s">
        <v>575</v>
      </c>
      <c r="J167" s="1" t="s">
        <v>44</v>
      </c>
      <c r="K167" s="1" t="s">
        <v>30</v>
      </c>
      <c r="L167" s="1" t="s">
        <v>31</v>
      </c>
      <c r="M167" s="1" t="s">
        <v>45</v>
      </c>
      <c r="N167" s="4">
        <v>36</v>
      </c>
      <c r="O167" s="1" t="s">
        <v>46</v>
      </c>
      <c r="P167" s="1" t="s">
        <v>47</v>
      </c>
      <c r="Q167" s="1" t="s">
        <v>35</v>
      </c>
      <c r="R167" s="1" t="s">
        <v>36</v>
      </c>
      <c r="S167" s="5">
        <v>12480</v>
      </c>
      <c r="T167" s="1" t="s">
        <v>576</v>
      </c>
      <c r="U167" s="1" t="s">
        <v>38</v>
      </c>
      <c r="V167" s="3">
        <v>46226.603472222203</v>
      </c>
      <c r="W167" s="6">
        <f t="shared" si="4"/>
        <v>1</v>
      </c>
      <c r="X167" s="6" t="str">
        <f t="shared" si="5"/>
        <v>Não</v>
      </c>
    </row>
    <row r="168" spans="1:24" ht="15" customHeight="1" x14ac:dyDescent="0.3">
      <c r="A168" s="1" t="s">
        <v>577</v>
      </c>
      <c r="B168" s="1" t="s">
        <v>25</v>
      </c>
      <c r="C168" s="1" t="s">
        <v>517</v>
      </c>
      <c r="D168" s="1" t="s">
        <v>408</v>
      </c>
      <c r="E168" s="3">
        <v>46251.626388888901</v>
      </c>
      <c r="F168" s="3">
        <v>46251.668055555601</v>
      </c>
      <c r="G168" s="3">
        <v>46273.427083333299</v>
      </c>
      <c r="H168" s="1" t="s">
        <v>42</v>
      </c>
      <c r="I168" s="1" t="s">
        <v>578</v>
      </c>
      <c r="J168" s="1" t="s">
        <v>579</v>
      </c>
      <c r="K168" s="1" t="s">
        <v>30</v>
      </c>
      <c r="L168" s="1" t="s">
        <v>31</v>
      </c>
      <c r="M168" s="1" t="s">
        <v>32</v>
      </c>
      <c r="N168" s="4">
        <v>36</v>
      </c>
      <c r="O168" s="1" t="s">
        <v>46</v>
      </c>
      <c r="P168" s="1" t="s">
        <v>580</v>
      </c>
      <c r="R168" s="1" t="s">
        <v>36</v>
      </c>
      <c r="S168" s="5">
        <v>3600</v>
      </c>
      <c r="U168" s="1" t="s">
        <v>38</v>
      </c>
      <c r="V168" s="3"/>
      <c r="W168" s="6">
        <f t="shared" si="4"/>
        <v>1</v>
      </c>
      <c r="X168" s="6" t="str">
        <f t="shared" si="5"/>
        <v>Não</v>
      </c>
    </row>
    <row r="169" spans="1:24" ht="15" customHeight="1" x14ac:dyDescent="0.3">
      <c r="A169" s="1" t="s">
        <v>581</v>
      </c>
      <c r="B169" s="1" t="s">
        <v>25</v>
      </c>
      <c r="C169" s="1" t="s">
        <v>582</v>
      </c>
      <c r="D169" s="1" t="s">
        <v>5</v>
      </c>
      <c r="E169" s="3">
        <v>46259.690277777801</v>
      </c>
      <c r="F169" s="3">
        <v>46267.833333333299</v>
      </c>
      <c r="G169" s="3">
        <v>46267.833333333299</v>
      </c>
      <c r="H169" s="1" t="s">
        <v>42</v>
      </c>
      <c r="I169" s="1" t="s">
        <v>583</v>
      </c>
      <c r="J169" s="1" t="s">
        <v>584</v>
      </c>
      <c r="K169" s="1" t="s">
        <v>30</v>
      </c>
      <c r="L169" s="1" t="s">
        <v>31</v>
      </c>
      <c r="M169" s="1" t="s">
        <v>62</v>
      </c>
      <c r="N169" s="4">
        <v>36</v>
      </c>
      <c r="O169" s="1" t="s">
        <v>46</v>
      </c>
      <c r="P169" s="1" t="s">
        <v>447</v>
      </c>
      <c r="Q169" s="1" t="s">
        <v>35</v>
      </c>
      <c r="R169" s="1" t="s">
        <v>36</v>
      </c>
      <c r="S169" s="5">
        <v>96000</v>
      </c>
      <c r="T169" s="1" t="s">
        <v>585</v>
      </c>
      <c r="U169" s="1" t="s">
        <v>38</v>
      </c>
      <c r="V169" s="3">
        <v>46260.801388888904</v>
      </c>
      <c r="W169" s="6">
        <f t="shared" si="4"/>
        <v>4</v>
      </c>
      <c r="X169" s="6" t="str">
        <f t="shared" si="5"/>
        <v>Sim</v>
      </c>
    </row>
    <row r="170" spans="1:24" ht="15" customHeight="1" x14ac:dyDescent="0.3">
      <c r="A170" s="1" t="s">
        <v>586</v>
      </c>
      <c r="B170" s="1" t="s">
        <v>25</v>
      </c>
      <c r="C170" s="1" t="s">
        <v>582</v>
      </c>
      <c r="D170" s="1" t="s">
        <v>5</v>
      </c>
      <c r="E170" s="3">
        <v>46234.506944444503</v>
      </c>
      <c r="F170" s="3">
        <v>46245.750694444498</v>
      </c>
      <c r="G170" s="3">
        <v>46245.750694444498</v>
      </c>
      <c r="H170" s="1" t="s">
        <v>42</v>
      </c>
      <c r="I170" s="1" t="s">
        <v>587</v>
      </c>
      <c r="J170" s="1" t="s">
        <v>588</v>
      </c>
      <c r="K170" s="1" t="s">
        <v>30</v>
      </c>
      <c r="L170" s="1" t="s">
        <v>31</v>
      </c>
      <c r="M170" s="1" t="s">
        <v>32</v>
      </c>
      <c r="N170" s="4">
        <v>36</v>
      </c>
      <c r="O170" s="1" t="s">
        <v>46</v>
      </c>
      <c r="P170" s="1" t="s">
        <v>589</v>
      </c>
      <c r="Q170" s="1" t="s">
        <v>35</v>
      </c>
      <c r="R170" s="1" t="s">
        <v>36</v>
      </c>
      <c r="S170" s="5">
        <v>366360</v>
      </c>
      <c r="T170" s="1" t="s">
        <v>590</v>
      </c>
      <c r="U170" s="1" t="s">
        <v>120</v>
      </c>
      <c r="V170" s="3">
        <v>46238.747222222199</v>
      </c>
      <c r="W170" s="6">
        <f t="shared" si="4"/>
        <v>1</v>
      </c>
      <c r="X170" s="6" t="str">
        <f t="shared" si="5"/>
        <v>Não</v>
      </c>
    </row>
    <row r="171" spans="1:24" ht="15" customHeight="1" x14ac:dyDescent="0.3">
      <c r="A171" s="1" t="s">
        <v>591</v>
      </c>
      <c r="B171" s="1" t="s">
        <v>25</v>
      </c>
      <c r="C171" s="1" t="s">
        <v>582</v>
      </c>
      <c r="D171" s="1" t="s">
        <v>5</v>
      </c>
      <c r="E171" s="3">
        <v>46196.631944444503</v>
      </c>
      <c r="F171" s="3">
        <v>46205.625</v>
      </c>
      <c r="G171" s="3">
        <v>46205.625</v>
      </c>
      <c r="H171" s="1" t="s">
        <v>42</v>
      </c>
      <c r="I171" s="1" t="s">
        <v>592</v>
      </c>
      <c r="J171" s="1" t="s">
        <v>584</v>
      </c>
      <c r="K171" s="1" t="s">
        <v>30</v>
      </c>
      <c r="L171" s="1" t="s">
        <v>31</v>
      </c>
      <c r="M171" s="1" t="s">
        <v>62</v>
      </c>
      <c r="N171" s="4">
        <v>36</v>
      </c>
      <c r="O171" s="1" t="s">
        <v>46</v>
      </c>
      <c r="P171" s="1" t="s">
        <v>447</v>
      </c>
      <c r="Q171" s="1" t="s">
        <v>35</v>
      </c>
      <c r="R171" s="1" t="s">
        <v>36</v>
      </c>
      <c r="S171" s="5">
        <v>169080</v>
      </c>
      <c r="T171" s="1" t="s">
        <v>593</v>
      </c>
      <c r="U171" s="1" t="s">
        <v>38</v>
      </c>
      <c r="V171" s="3">
        <v>46198.588888888902</v>
      </c>
      <c r="W171" s="6">
        <f t="shared" si="4"/>
        <v>4</v>
      </c>
      <c r="X171" s="6" t="str">
        <f t="shared" si="5"/>
        <v>Sim</v>
      </c>
    </row>
    <row r="172" spans="1:24" ht="15" customHeight="1" x14ac:dyDescent="0.3">
      <c r="A172" s="1" t="s">
        <v>594</v>
      </c>
      <c r="B172" s="1" t="s">
        <v>25</v>
      </c>
      <c r="C172" s="1" t="s">
        <v>582</v>
      </c>
      <c r="D172" s="1" t="s">
        <v>5</v>
      </c>
      <c r="E172" s="3">
        <v>46247.651388888902</v>
      </c>
      <c r="F172" s="3">
        <v>46254.667361111096</v>
      </c>
      <c r="G172" s="3">
        <v>46273.425694444399</v>
      </c>
      <c r="H172" s="1" t="s">
        <v>42</v>
      </c>
      <c r="I172" s="1" t="s">
        <v>595</v>
      </c>
      <c r="J172" s="1" t="s">
        <v>305</v>
      </c>
      <c r="K172" s="1" t="s">
        <v>51</v>
      </c>
      <c r="L172" s="1" t="s">
        <v>31</v>
      </c>
      <c r="M172" s="1" t="s">
        <v>32</v>
      </c>
      <c r="N172" s="4">
        <v>36</v>
      </c>
      <c r="O172" s="1" t="s">
        <v>46</v>
      </c>
      <c r="P172" s="1" t="s">
        <v>47</v>
      </c>
      <c r="Q172" s="1" t="s">
        <v>68</v>
      </c>
      <c r="R172" s="1" t="s">
        <v>36</v>
      </c>
      <c r="S172" s="5">
        <v>960</v>
      </c>
      <c r="T172" s="1" t="s">
        <v>69</v>
      </c>
      <c r="U172" s="1" t="s">
        <v>38</v>
      </c>
      <c r="V172" s="3">
        <v>46247.662499999999</v>
      </c>
      <c r="W172" s="6">
        <f t="shared" si="4"/>
        <v>1</v>
      </c>
      <c r="X172" s="6" t="str">
        <f t="shared" si="5"/>
        <v>Não</v>
      </c>
    </row>
    <row r="173" spans="1:24" ht="15" customHeight="1" x14ac:dyDescent="0.3">
      <c r="A173" s="1" t="s">
        <v>596</v>
      </c>
      <c r="B173" s="1" t="s">
        <v>25</v>
      </c>
      <c r="C173" s="1" t="s">
        <v>582</v>
      </c>
      <c r="D173" s="1" t="s">
        <v>5</v>
      </c>
      <c r="E173" s="3">
        <v>46237.5847222222</v>
      </c>
      <c r="F173" s="3">
        <v>46244.625</v>
      </c>
      <c r="G173" s="3">
        <v>46244.625</v>
      </c>
      <c r="H173" s="1" t="s">
        <v>42</v>
      </c>
      <c r="I173" s="1" t="s">
        <v>597</v>
      </c>
      <c r="J173" s="1" t="s">
        <v>584</v>
      </c>
      <c r="K173" s="1" t="s">
        <v>30</v>
      </c>
      <c r="L173" s="1" t="s">
        <v>31</v>
      </c>
      <c r="M173" s="1" t="s">
        <v>62</v>
      </c>
      <c r="N173" s="4">
        <v>36</v>
      </c>
      <c r="O173" s="1" t="s">
        <v>46</v>
      </c>
      <c r="P173" s="1" t="s">
        <v>447</v>
      </c>
      <c r="Q173" s="1" t="s">
        <v>35</v>
      </c>
      <c r="R173" s="1" t="s">
        <v>36</v>
      </c>
      <c r="S173" s="5">
        <v>3420</v>
      </c>
      <c r="T173" s="1" t="s">
        <v>598</v>
      </c>
      <c r="U173" s="1" t="s">
        <v>38</v>
      </c>
      <c r="V173" s="3">
        <v>46237.624305555597</v>
      </c>
      <c r="W173" s="6">
        <f t="shared" si="4"/>
        <v>4</v>
      </c>
      <c r="X173" s="6" t="str">
        <f t="shared" si="5"/>
        <v>Sim</v>
      </c>
    </row>
    <row r="174" spans="1:24" ht="15" customHeight="1" x14ac:dyDescent="0.3">
      <c r="A174" s="1" t="s">
        <v>599</v>
      </c>
      <c r="B174" s="1" t="s">
        <v>25</v>
      </c>
      <c r="C174" s="1" t="s">
        <v>582</v>
      </c>
      <c r="D174" s="1" t="s">
        <v>5</v>
      </c>
      <c r="E174" s="3">
        <v>46224.599305555603</v>
      </c>
      <c r="F174" s="3">
        <v>46233.625694444498</v>
      </c>
      <c r="G174" s="3">
        <v>46233.625694444498</v>
      </c>
      <c r="H174" s="1" t="s">
        <v>42</v>
      </c>
      <c r="I174" s="1" t="s">
        <v>600</v>
      </c>
      <c r="J174" s="1" t="s">
        <v>584</v>
      </c>
      <c r="K174" s="1" t="s">
        <v>30</v>
      </c>
      <c r="L174" s="1" t="s">
        <v>31</v>
      </c>
      <c r="M174" s="1" t="s">
        <v>45</v>
      </c>
      <c r="N174" s="4">
        <v>36</v>
      </c>
      <c r="O174" s="1" t="s">
        <v>46</v>
      </c>
      <c r="P174" s="1" t="s">
        <v>447</v>
      </c>
      <c r="Q174" s="1" t="s">
        <v>68</v>
      </c>
      <c r="R174" s="1" t="s">
        <v>36</v>
      </c>
      <c r="S174" s="5">
        <v>172440</v>
      </c>
      <c r="T174" s="1" t="s">
        <v>601</v>
      </c>
      <c r="U174" s="1" t="s">
        <v>38</v>
      </c>
      <c r="V174" s="3">
        <v>46226.595138888901</v>
      </c>
      <c r="W174" s="6">
        <f t="shared" si="4"/>
        <v>4</v>
      </c>
      <c r="X174" s="6" t="str">
        <f t="shared" si="5"/>
        <v>Sim</v>
      </c>
    </row>
    <row r="175" spans="1:24" ht="15" customHeight="1" x14ac:dyDescent="0.3">
      <c r="A175" s="1" t="s">
        <v>602</v>
      </c>
      <c r="B175" s="1" t="s">
        <v>25</v>
      </c>
      <c r="C175" s="1" t="s">
        <v>582</v>
      </c>
      <c r="D175" s="1" t="s">
        <v>408</v>
      </c>
      <c r="E175" s="3">
        <v>46233.612500000003</v>
      </c>
      <c r="F175" s="3">
        <v>46233.652083333298</v>
      </c>
      <c r="G175" s="3">
        <v>46233.652083333298</v>
      </c>
      <c r="H175" s="1" t="s">
        <v>42</v>
      </c>
      <c r="I175" s="1" t="s">
        <v>603</v>
      </c>
      <c r="J175" s="1" t="s">
        <v>604</v>
      </c>
      <c r="K175" s="1" t="s">
        <v>30</v>
      </c>
      <c r="L175" s="1" t="s">
        <v>31</v>
      </c>
      <c r="M175" s="1" t="s">
        <v>32</v>
      </c>
      <c r="N175" s="4">
        <v>36</v>
      </c>
      <c r="O175" s="1" t="s">
        <v>46</v>
      </c>
      <c r="P175" s="1" t="s">
        <v>47</v>
      </c>
      <c r="R175" s="1" t="s">
        <v>36</v>
      </c>
      <c r="S175" s="5">
        <v>3420</v>
      </c>
      <c r="U175" s="1" t="s">
        <v>38</v>
      </c>
      <c r="V175" s="3"/>
      <c r="W175" s="6">
        <f t="shared" si="4"/>
        <v>1</v>
      </c>
      <c r="X175" s="6" t="str">
        <f t="shared" si="5"/>
        <v>Não</v>
      </c>
    </row>
    <row r="176" spans="1:24" ht="15" customHeight="1" x14ac:dyDescent="0.3">
      <c r="A176" s="1" t="s">
        <v>605</v>
      </c>
      <c r="B176" s="1" t="s">
        <v>25</v>
      </c>
      <c r="C176" s="1" t="s">
        <v>606</v>
      </c>
      <c r="D176" s="1" t="s">
        <v>21</v>
      </c>
      <c r="E176" s="3">
        <v>46267.683333333298</v>
      </c>
      <c r="F176" s="3"/>
      <c r="G176" s="3">
        <v>46268.695833333302</v>
      </c>
      <c r="H176" s="1" t="s">
        <v>42</v>
      </c>
      <c r="I176" s="1" t="s">
        <v>607</v>
      </c>
      <c r="J176" s="1" t="s">
        <v>608</v>
      </c>
      <c r="K176" s="1" t="s">
        <v>30</v>
      </c>
      <c r="L176" s="1" t="s">
        <v>31</v>
      </c>
      <c r="M176" s="1" t="s">
        <v>45</v>
      </c>
      <c r="N176" s="4">
        <v>36</v>
      </c>
      <c r="O176" s="1" t="s">
        <v>46</v>
      </c>
      <c r="P176" s="1" t="s">
        <v>609</v>
      </c>
      <c r="Q176" s="1" t="s">
        <v>35</v>
      </c>
      <c r="R176" s="1" t="s">
        <v>36</v>
      </c>
      <c r="S176" s="5">
        <v>87480</v>
      </c>
      <c r="T176" s="1" t="s">
        <v>610</v>
      </c>
      <c r="U176" s="1" t="s">
        <v>38</v>
      </c>
      <c r="V176" s="3">
        <v>46268.695833333302</v>
      </c>
      <c r="W176" s="6">
        <f t="shared" si="4"/>
        <v>2</v>
      </c>
      <c r="X176" s="6" t="str">
        <f t="shared" si="5"/>
        <v>Sim</v>
      </c>
    </row>
    <row r="177" spans="1:24" ht="15" customHeight="1" x14ac:dyDescent="0.3">
      <c r="A177" s="1" t="s">
        <v>611</v>
      </c>
      <c r="B177" s="1" t="s">
        <v>25</v>
      </c>
      <c r="C177" s="1" t="s">
        <v>606</v>
      </c>
      <c r="D177" s="1" t="s">
        <v>5</v>
      </c>
      <c r="E177" s="3">
        <v>46184.509722222203</v>
      </c>
      <c r="F177" s="3">
        <v>46191.625694444498</v>
      </c>
      <c r="G177" s="3">
        <v>46191.625694444498</v>
      </c>
      <c r="H177" s="1" t="s">
        <v>42</v>
      </c>
      <c r="I177" s="1" t="s">
        <v>612</v>
      </c>
      <c r="J177" s="1" t="s">
        <v>613</v>
      </c>
      <c r="K177" s="1" t="s">
        <v>30</v>
      </c>
      <c r="L177" s="1" t="s">
        <v>31</v>
      </c>
      <c r="M177" s="1" t="s">
        <v>45</v>
      </c>
      <c r="N177" s="4">
        <v>36</v>
      </c>
      <c r="O177" s="1" t="s">
        <v>46</v>
      </c>
      <c r="P177" s="1" t="s">
        <v>614</v>
      </c>
      <c r="Q177" s="1" t="s">
        <v>35</v>
      </c>
      <c r="R177" s="1" t="s">
        <v>36</v>
      </c>
      <c r="S177" s="5">
        <v>8940</v>
      </c>
      <c r="T177" s="1" t="s">
        <v>615</v>
      </c>
      <c r="U177" s="1" t="s">
        <v>38</v>
      </c>
      <c r="V177" s="3">
        <v>46184.613194444399</v>
      </c>
      <c r="W177" s="6">
        <f t="shared" si="4"/>
        <v>2</v>
      </c>
      <c r="X177" s="6" t="str">
        <f t="shared" si="5"/>
        <v>Sim</v>
      </c>
    </row>
    <row r="178" spans="1:24" ht="15" customHeight="1" x14ac:dyDescent="0.3">
      <c r="A178" s="1" t="s">
        <v>616</v>
      </c>
      <c r="B178" s="1" t="s">
        <v>25</v>
      </c>
      <c r="C178" s="1" t="s">
        <v>606</v>
      </c>
      <c r="D178" s="1" t="s">
        <v>5</v>
      </c>
      <c r="E178" s="3">
        <v>46252.466666666704</v>
      </c>
      <c r="F178" s="3">
        <v>46259.583333333299</v>
      </c>
      <c r="G178" s="3">
        <v>46259.583333333299</v>
      </c>
      <c r="H178" s="1" t="s">
        <v>42</v>
      </c>
      <c r="I178" s="1" t="s">
        <v>617</v>
      </c>
      <c r="J178" s="1" t="s">
        <v>189</v>
      </c>
      <c r="K178" s="1" t="s">
        <v>30</v>
      </c>
      <c r="L178" s="1" t="s">
        <v>31</v>
      </c>
      <c r="M178" s="1" t="s">
        <v>45</v>
      </c>
      <c r="N178" s="4">
        <v>36</v>
      </c>
      <c r="O178" s="1" t="s">
        <v>46</v>
      </c>
      <c r="P178" s="1" t="s">
        <v>447</v>
      </c>
      <c r="Q178" s="1" t="s">
        <v>68</v>
      </c>
      <c r="R178" s="1" t="s">
        <v>36</v>
      </c>
      <c r="S178" s="5">
        <v>8220</v>
      </c>
      <c r="T178" s="1" t="s">
        <v>618</v>
      </c>
      <c r="U178" s="1" t="s">
        <v>38</v>
      </c>
      <c r="V178" s="3">
        <v>46252.561805555597</v>
      </c>
      <c r="W178" s="6">
        <f t="shared" si="4"/>
        <v>1</v>
      </c>
      <c r="X178" s="6" t="str">
        <f t="shared" si="5"/>
        <v>Não</v>
      </c>
    </row>
    <row r="179" spans="1:24" ht="15" customHeight="1" x14ac:dyDescent="0.3">
      <c r="A179" s="1" t="s">
        <v>619</v>
      </c>
      <c r="B179" s="1" t="s">
        <v>25</v>
      </c>
      <c r="C179" s="1" t="s">
        <v>606</v>
      </c>
      <c r="D179" s="1" t="s">
        <v>5</v>
      </c>
      <c r="E179" s="3">
        <v>46258.686111111099</v>
      </c>
      <c r="F179" s="3">
        <v>46265.708333333299</v>
      </c>
      <c r="G179" s="3">
        <v>46265.708333333299</v>
      </c>
      <c r="H179" s="1" t="s">
        <v>42</v>
      </c>
      <c r="I179" s="1" t="s">
        <v>620</v>
      </c>
      <c r="J179" s="1" t="s">
        <v>492</v>
      </c>
      <c r="K179" s="1" t="s">
        <v>30</v>
      </c>
      <c r="L179" s="1" t="s">
        <v>31</v>
      </c>
      <c r="M179" s="1" t="s">
        <v>45</v>
      </c>
      <c r="N179" s="4">
        <v>36</v>
      </c>
      <c r="O179" s="1" t="s">
        <v>46</v>
      </c>
      <c r="P179" s="1" t="s">
        <v>621</v>
      </c>
      <c r="Q179" s="1" t="s">
        <v>35</v>
      </c>
      <c r="R179" s="1" t="s">
        <v>36</v>
      </c>
      <c r="S179" s="5">
        <v>1140</v>
      </c>
      <c r="T179" s="1" t="s">
        <v>622</v>
      </c>
      <c r="U179" s="1" t="s">
        <v>38</v>
      </c>
      <c r="V179" s="3">
        <v>46258.699305555601</v>
      </c>
      <c r="W179" s="6">
        <f t="shared" si="4"/>
        <v>1</v>
      </c>
      <c r="X179" s="6" t="str">
        <f t="shared" si="5"/>
        <v>Não</v>
      </c>
    </row>
    <row r="180" spans="1:24" ht="15" customHeight="1" x14ac:dyDescent="0.3">
      <c r="A180" s="1" t="s">
        <v>623</v>
      </c>
      <c r="B180" s="1" t="s">
        <v>25</v>
      </c>
      <c r="C180" s="1" t="s">
        <v>606</v>
      </c>
      <c r="D180" s="1" t="s">
        <v>5</v>
      </c>
      <c r="E180" s="3">
        <v>46212.624305555597</v>
      </c>
      <c r="F180" s="3">
        <v>46219.75</v>
      </c>
      <c r="G180" s="3">
        <v>46219.75</v>
      </c>
      <c r="H180" s="1" t="s">
        <v>42</v>
      </c>
      <c r="I180" s="1" t="s">
        <v>624</v>
      </c>
      <c r="J180" s="1" t="s">
        <v>308</v>
      </c>
      <c r="K180" s="1" t="s">
        <v>51</v>
      </c>
      <c r="L180" s="1" t="s">
        <v>31</v>
      </c>
      <c r="M180" s="1" t="s">
        <v>45</v>
      </c>
      <c r="N180" s="4">
        <v>36</v>
      </c>
      <c r="O180" s="1" t="s">
        <v>46</v>
      </c>
      <c r="P180" s="1" t="s">
        <v>47</v>
      </c>
      <c r="Q180" s="1" t="s">
        <v>68</v>
      </c>
      <c r="R180" s="1" t="s">
        <v>36</v>
      </c>
      <c r="S180" s="5">
        <v>7260</v>
      </c>
      <c r="T180" s="1" t="s">
        <v>625</v>
      </c>
      <c r="U180" s="1" t="s">
        <v>38</v>
      </c>
      <c r="V180" s="3">
        <v>46212.708333333299</v>
      </c>
      <c r="W180" s="6">
        <f t="shared" si="4"/>
        <v>1</v>
      </c>
      <c r="X180" s="6" t="str">
        <f t="shared" si="5"/>
        <v>Não</v>
      </c>
    </row>
    <row r="181" spans="1:24" ht="15" customHeight="1" x14ac:dyDescent="0.3">
      <c r="A181" s="1" t="s">
        <v>626</v>
      </c>
      <c r="B181" s="1" t="s">
        <v>25</v>
      </c>
      <c r="C181" s="1" t="s">
        <v>606</v>
      </c>
      <c r="D181" s="1" t="s">
        <v>5</v>
      </c>
      <c r="E181" s="3">
        <v>46247.671527777798</v>
      </c>
      <c r="F181" s="3">
        <v>46258.375694444498</v>
      </c>
      <c r="G181" s="3">
        <v>46258.375694444498</v>
      </c>
      <c r="H181" s="1" t="s">
        <v>42</v>
      </c>
      <c r="I181" s="1" t="s">
        <v>627</v>
      </c>
      <c r="J181" s="1" t="s">
        <v>628</v>
      </c>
      <c r="K181" s="1" t="s">
        <v>51</v>
      </c>
      <c r="L181" s="1" t="s">
        <v>31</v>
      </c>
      <c r="M181" s="1" t="s">
        <v>45</v>
      </c>
      <c r="N181" s="4">
        <v>36</v>
      </c>
      <c r="O181" s="1" t="s">
        <v>46</v>
      </c>
      <c r="P181" s="1" t="s">
        <v>629</v>
      </c>
      <c r="Q181" s="1" t="s">
        <v>68</v>
      </c>
      <c r="R181" s="1" t="s">
        <v>36</v>
      </c>
      <c r="S181" s="5">
        <v>319920</v>
      </c>
      <c r="T181" s="1" t="s">
        <v>630</v>
      </c>
      <c r="U181" s="1" t="s">
        <v>38</v>
      </c>
      <c r="V181" s="3">
        <v>46251.374305555597</v>
      </c>
      <c r="W181" s="6">
        <f t="shared" si="4"/>
        <v>1</v>
      </c>
      <c r="X181" s="6" t="str">
        <f t="shared" si="5"/>
        <v>Não</v>
      </c>
    </row>
    <row r="182" spans="1:24" ht="15" customHeight="1" x14ac:dyDescent="0.3">
      <c r="A182" s="1" t="s">
        <v>631</v>
      </c>
      <c r="B182" s="1" t="s">
        <v>25</v>
      </c>
      <c r="C182" s="1" t="s">
        <v>606</v>
      </c>
      <c r="D182" s="1" t="s">
        <v>5</v>
      </c>
      <c r="E182" s="3">
        <v>46238.529861111099</v>
      </c>
      <c r="F182" s="3">
        <v>46245.625694444498</v>
      </c>
      <c r="G182" s="3">
        <v>46245.625694444498</v>
      </c>
      <c r="H182" s="1" t="s">
        <v>42</v>
      </c>
      <c r="I182" s="1" t="s">
        <v>632</v>
      </c>
      <c r="J182" s="1" t="s">
        <v>633</v>
      </c>
      <c r="K182" s="1" t="s">
        <v>30</v>
      </c>
      <c r="L182" s="1" t="s">
        <v>31</v>
      </c>
      <c r="M182" s="1" t="s">
        <v>45</v>
      </c>
      <c r="N182" s="4">
        <v>36</v>
      </c>
      <c r="O182" s="1" t="s">
        <v>46</v>
      </c>
      <c r="P182" s="1" t="s">
        <v>634</v>
      </c>
      <c r="Q182" s="1" t="s">
        <v>35</v>
      </c>
      <c r="R182" s="1" t="s">
        <v>36</v>
      </c>
      <c r="S182" s="5">
        <v>7920</v>
      </c>
      <c r="T182" s="1" t="s">
        <v>635</v>
      </c>
      <c r="U182" s="1" t="s">
        <v>38</v>
      </c>
      <c r="V182" s="3">
        <v>46238.621527777803</v>
      </c>
      <c r="W182" s="6">
        <f t="shared" si="4"/>
        <v>1</v>
      </c>
      <c r="X182" s="6" t="str">
        <f t="shared" si="5"/>
        <v>Não</v>
      </c>
    </row>
    <row r="183" spans="1:24" ht="15" customHeight="1" x14ac:dyDescent="0.3">
      <c r="A183" s="1" t="s">
        <v>636</v>
      </c>
      <c r="B183" s="1" t="s">
        <v>25</v>
      </c>
      <c r="C183" s="1" t="s">
        <v>606</v>
      </c>
      <c r="D183" s="1" t="s">
        <v>5</v>
      </c>
      <c r="E183" s="3">
        <v>46221.638888888898</v>
      </c>
      <c r="F183" s="3">
        <v>46230.625</v>
      </c>
      <c r="G183" s="3">
        <v>46230.625</v>
      </c>
      <c r="H183" s="1" t="s">
        <v>42</v>
      </c>
      <c r="I183" s="1" t="s">
        <v>637</v>
      </c>
      <c r="J183" s="1" t="s">
        <v>638</v>
      </c>
      <c r="K183" s="1" t="s">
        <v>30</v>
      </c>
      <c r="L183" s="1" t="s">
        <v>31</v>
      </c>
      <c r="M183" s="1" t="s">
        <v>45</v>
      </c>
      <c r="N183" s="4">
        <v>36</v>
      </c>
      <c r="O183" s="1" t="s">
        <v>46</v>
      </c>
      <c r="P183" s="1" t="s">
        <v>639</v>
      </c>
      <c r="Q183" s="1" t="s">
        <v>35</v>
      </c>
      <c r="R183" s="1" t="s">
        <v>36</v>
      </c>
      <c r="S183" s="5">
        <v>168600</v>
      </c>
      <c r="T183" s="1" t="s">
        <v>640</v>
      </c>
      <c r="U183" s="1" t="s">
        <v>38</v>
      </c>
      <c r="V183" s="3">
        <v>46223.590277777803</v>
      </c>
      <c r="W183" s="6">
        <f t="shared" si="4"/>
        <v>1</v>
      </c>
      <c r="X183" s="6" t="str">
        <f t="shared" si="5"/>
        <v>Não</v>
      </c>
    </row>
    <row r="184" spans="1:24" ht="15" customHeight="1" x14ac:dyDescent="0.3">
      <c r="A184" s="1" t="s">
        <v>641</v>
      </c>
      <c r="B184" s="1" t="s">
        <v>25</v>
      </c>
      <c r="C184" s="1" t="s">
        <v>606</v>
      </c>
      <c r="D184" s="1" t="s">
        <v>5</v>
      </c>
      <c r="E184" s="3">
        <v>46181.402777777803</v>
      </c>
      <c r="F184" s="3">
        <v>46188.708333333299</v>
      </c>
      <c r="G184" s="3">
        <v>46188.708333333299</v>
      </c>
      <c r="H184" s="1" t="s">
        <v>27</v>
      </c>
      <c r="I184" s="1" t="s">
        <v>642</v>
      </c>
      <c r="J184" s="1" t="s">
        <v>643</v>
      </c>
      <c r="K184" s="1" t="s">
        <v>51</v>
      </c>
      <c r="L184" s="1" t="s">
        <v>31</v>
      </c>
      <c r="M184" s="1" t="s">
        <v>45</v>
      </c>
      <c r="N184" s="4">
        <v>36</v>
      </c>
      <c r="O184" s="1" t="s">
        <v>87</v>
      </c>
      <c r="P184" s="1" t="s">
        <v>644</v>
      </c>
      <c r="Q184" s="1" t="s">
        <v>35</v>
      </c>
      <c r="R184" s="1" t="s">
        <v>36</v>
      </c>
      <c r="S184" s="5">
        <v>25740</v>
      </c>
      <c r="T184" s="1" t="s">
        <v>645</v>
      </c>
      <c r="U184" s="1" t="s">
        <v>38</v>
      </c>
      <c r="V184" s="3">
        <v>46181.7006944444</v>
      </c>
      <c r="W184" s="6">
        <f t="shared" si="4"/>
        <v>1</v>
      </c>
      <c r="X184" s="6" t="str">
        <f t="shared" si="5"/>
        <v>Não</v>
      </c>
    </row>
    <row r="185" spans="1:24" ht="15" customHeight="1" x14ac:dyDescent="0.3">
      <c r="A185" s="1" t="s">
        <v>646</v>
      </c>
      <c r="B185" s="1" t="s">
        <v>25</v>
      </c>
      <c r="C185" s="1" t="s">
        <v>606</v>
      </c>
      <c r="D185" s="1" t="s">
        <v>5</v>
      </c>
      <c r="E185" s="3">
        <v>46178.813888888901</v>
      </c>
      <c r="F185" s="3">
        <v>46183.704166666699</v>
      </c>
      <c r="G185" s="3">
        <v>46183.704166666699</v>
      </c>
      <c r="H185" s="1" t="s">
        <v>42</v>
      </c>
      <c r="I185" s="1" t="s">
        <v>647</v>
      </c>
      <c r="J185" s="1" t="s">
        <v>648</v>
      </c>
      <c r="K185" s="1" t="s">
        <v>30</v>
      </c>
      <c r="L185" s="1" t="s">
        <v>31</v>
      </c>
      <c r="M185" s="1" t="s">
        <v>45</v>
      </c>
      <c r="N185" s="4">
        <v>36</v>
      </c>
      <c r="O185" s="1" t="s">
        <v>246</v>
      </c>
      <c r="P185" s="1" t="s">
        <v>649</v>
      </c>
      <c r="Q185" s="1" t="s">
        <v>35</v>
      </c>
      <c r="R185" s="1" t="s">
        <v>36</v>
      </c>
      <c r="S185" s="5">
        <v>244800</v>
      </c>
      <c r="T185" s="1" t="s">
        <v>650</v>
      </c>
      <c r="U185" s="1" t="s">
        <v>38</v>
      </c>
      <c r="V185" s="3">
        <v>46181.6472222222</v>
      </c>
      <c r="W185" s="6">
        <f t="shared" si="4"/>
        <v>2</v>
      </c>
      <c r="X185" s="6" t="str">
        <f t="shared" si="5"/>
        <v>Sim</v>
      </c>
    </row>
    <row r="186" spans="1:24" ht="15" customHeight="1" x14ac:dyDescent="0.3">
      <c r="A186" s="1" t="s">
        <v>646</v>
      </c>
      <c r="B186" s="1" t="s">
        <v>25</v>
      </c>
      <c r="C186" s="1" t="s">
        <v>606</v>
      </c>
      <c r="D186" s="1" t="s">
        <v>5</v>
      </c>
      <c r="E186" s="3">
        <v>46178.814583333296</v>
      </c>
      <c r="F186" s="3">
        <v>46183.704861111102</v>
      </c>
      <c r="G186" s="3">
        <v>46183.704861111102</v>
      </c>
      <c r="H186" s="1" t="s">
        <v>42</v>
      </c>
      <c r="I186" s="1" t="s">
        <v>647</v>
      </c>
      <c r="J186" s="1" t="s">
        <v>648</v>
      </c>
      <c r="K186" s="1" t="s">
        <v>30</v>
      </c>
      <c r="L186" s="1" t="s">
        <v>31</v>
      </c>
      <c r="M186" s="1" t="s">
        <v>45</v>
      </c>
      <c r="N186" s="4">
        <v>36</v>
      </c>
      <c r="O186" s="1" t="s">
        <v>246</v>
      </c>
      <c r="P186" s="1" t="s">
        <v>649</v>
      </c>
      <c r="Q186" s="1" t="s">
        <v>35</v>
      </c>
      <c r="R186" s="1" t="s">
        <v>36</v>
      </c>
      <c r="S186" s="5">
        <v>305880</v>
      </c>
      <c r="T186" s="1" t="s">
        <v>651</v>
      </c>
      <c r="U186" s="1" t="s">
        <v>38</v>
      </c>
      <c r="V186" s="3">
        <v>46182.354861111096</v>
      </c>
      <c r="W186" s="6">
        <f t="shared" si="4"/>
        <v>2</v>
      </c>
      <c r="X186" s="6" t="str">
        <f t="shared" si="5"/>
        <v>Sim</v>
      </c>
    </row>
    <row r="187" spans="1:24" ht="15" customHeight="1" x14ac:dyDescent="0.3">
      <c r="A187" s="1" t="s">
        <v>652</v>
      </c>
      <c r="B187" s="1" t="s">
        <v>25</v>
      </c>
      <c r="C187" s="1" t="s">
        <v>606</v>
      </c>
      <c r="D187" s="1" t="s">
        <v>5</v>
      </c>
      <c r="E187" s="3">
        <v>46235.629166666702</v>
      </c>
      <c r="F187" s="3">
        <v>46245.750694444498</v>
      </c>
      <c r="G187" s="3">
        <v>46245.750694444498</v>
      </c>
      <c r="H187" s="1" t="s">
        <v>42</v>
      </c>
      <c r="I187" s="1" t="s">
        <v>653</v>
      </c>
      <c r="J187" s="1" t="s">
        <v>654</v>
      </c>
      <c r="K187" s="1" t="s">
        <v>30</v>
      </c>
      <c r="L187" s="1" t="s">
        <v>31</v>
      </c>
      <c r="M187" s="1" t="s">
        <v>45</v>
      </c>
      <c r="N187" s="4">
        <v>36</v>
      </c>
      <c r="O187" s="1" t="s">
        <v>46</v>
      </c>
      <c r="P187" s="1" t="s">
        <v>655</v>
      </c>
      <c r="Q187" s="1" t="s">
        <v>68</v>
      </c>
      <c r="R187" s="1" t="s">
        <v>36</v>
      </c>
      <c r="S187" s="5">
        <v>267180</v>
      </c>
      <c r="T187" s="1" t="s">
        <v>656</v>
      </c>
      <c r="U187" s="1" t="s">
        <v>120</v>
      </c>
      <c r="V187" s="3">
        <v>46238.721527777801</v>
      </c>
      <c r="W187" s="6">
        <f t="shared" si="4"/>
        <v>1</v>
      </c>
      <c r="X187" s="6" t="str">
        <f t="shared" si="5"/>
        <v>Não</v>
      </c>
    </row>
    <row r="188" spans="1:24" ht="15" customHeight="1" x14ac:dyDescent="0.3">
      <c r="A188" s="1" t="s">
        <v>657</v>
      </c>
      <c r="B188" s="1" t="s">
        <v>25</v>
      </c>
      <c r="C188" s="1" t="s">
        <v>606</v>
      </c>
      <c r="D188" s="1" t="s">
        <v>5</v>
      </c>
      <c r="E188" s="3">
        <v>46268.497222222199</v>
      </c>
      <c r="F188" s="3">
        <v>46268.688888888901</v>
      </c>
      <c r="G188" s="3">
        <v>46268.688888888901</v>
      </c>
      <c r="H188" s="1" t="s">
        <v>658</v>
      </c>
      <c r="I188" s="1" t="s">
        <v>659</v>
      </c>
      <c r="J188" s="1" t="s">
        <v>660</v>
      </c>
      <c r="K188" s="1" t="s">
        <v>30</v>
      </c>
      <c r="L188" s="1" t="s">
        <v>31</v>
      </c>
      <c r="M188" s="1" t="s">
        <v>45</v>
      </c>
      <c r="N188" s="4">
        <v>36</v>
      </c>
      <c r="O188" s="1" t="s">
        <v>46</v>
      </c>
      <c r="P188" s="1" t="s">
        <v>661</v>
      </c>
      <c r="Q188" s="1" t="s">
        <v>35</v>
      </c>
      <c r="R188" s="1" t="s">
        <v>36</v>
      </c>
      <c r="S188" s="5">
        <v>8580</v>
      </c>
      <c r="T188" s="1" t="s">
        <v>662</v>
      </c>
      <c r="U188" s="1" t="s">
        <v>38</v>
      </c>
      <c r="V188" s="3">
        <v>46268.596527777801</v>
      </c>
      <c r="W188" s="6">
        <f t="shared" si="4"/>
        <v>1</v>
      </c>
      <c r="X188" s="6" t="str">
        <f t="shared" si="5"/>
        <v>Não</v>
      </c>
    </row>
    <row r="189" spans="1:24" ht="15" customHeight="1" x14ac:dyDescent="0.3">
      <c r="A189" s="1" t="s">
        <v>663</v>
      </c>
      <c r="B189" s="1" t="s">
        <v>25</v>
      </c>
      <c r="C189" s="1" t="s">
        <v>606</v>
      </c>
      <c r="D189" s="1" t="s">
        <v>5</v>
      </c>
      <c r="E189" s="3">
        <v>46237.621527777803</v>
      </c>
      <c r="F189" s="3">
        <v>46238.572916666701</v>
      </c>
      <c r="G189" s="3">
        <v>46238.572916666701</v>
      </c>
      <c r="H189" s="1" t="s">
        <v>42</v>
      </c>
      <c r="I189" s="1" t="s">
        <v>664</v>
      </c>
      <c r="J189" s="1" t="s">
        <v>665</v>
      </c>
      <c r="K189" s="1" t="s">
        <v>51</v>
      </c>
      <c r="L189" s="1" t="s">
        <v>31</v>
      </c>
      <c r="M189" s="1" t="s">
        <v>45</v>
      </c>
      <c r="N189" s="4">
        <v>36</v>
      </c>
      <c r="O189" s="1" t="s">
        <v>46</v>
      </c>
      <c r="P189" s="1" t="s">
        <v>666</v>
      </c>
      <c r="Q189" s="1" t="s">
        <v>35</v>
      </c>
      <c r="R189" s="1" t="s">
        <v>36</v>
      </c>
      <c r="S189" s="5">
        <v>66840</v>
      </c>
      <c r="T189" s="1" t="s">
        <v>667</v>
      </c>
      <c r="U189" s="1" t="s">
        <v>38</v>
      </c>
      <c r="V189" s="3">
        <v>46238.395138888904</v>
      </c>
      <c r="W189" s="6">
        <f t="shared" si="4"/>
        <v>1</v>
      </c>
      <c r="X189" s="6" t="str">
        <f t="shared" si="5"/>
        <v>Não</v>
      </c>
    </row>
    <row r="190" spans="1:24" ht="15" customHeight="1" x14ac:dyDescent="0.3">
      <c r="A190" s="1" t="s">
        <v>668</v>
      </c>
      <c r="B190" s="1" t="s">
        <v>25</v>
      </c>
      <c r="C190" s="1" t="s">
        <v>606</v>
      </c>
      <c r="D190" s="1" t="s">
        <v>5</v>
      </c>
      <c r="E190" s="3">
        <v>46237.636805555601</v>
      </c>
      <c r="F190" s="3">
        <v>46245.416666666701</v>
      </c>
      <c r="G190" s="3">
        <v>46245.416666666701</v>
      </c>
      <c r="H190" s="1" t="s">
        <v>42</v>
      </c>
      <c r="I190" s="1" t="s">
        <v>669</v>
      </c>
      <c r="J190" s="1" t="s">
        <v>608</v>
      </c>
      <c r="K190" s="1" t="s">
        <v>30</v>
      </c>
      <c r="L190" s="1" t="s">
        <v>31</v>
      </c>
      <c r="M190" s="1" t="s">
        <v>45</v>
      </c>
      <c r="N190" s="4">
        <v>36</v>
      </c>
      <c r="O190" s="1" t="s">
        <v>46</v>
      </c>
      <c r="P190" s="1" t="s">
        <v>609</v>
      </c>
      <c r="Q190" s="1" t="s">
        <v>35</v>
      </c>
      <c r="R190" s="1" t="s">
        <v>36</v>
      </c>
      <c r="S190" s="5">
        <v>65580</v>
      </c>
      <c r="T190" s="1" t="s">
        <v>670</v>
      </c>
      <c r="U190" s="1" t="s">
        <v>38</v>
      </c>
      <c r="V190" s="3">
        <v>46238.395833333299</v>
      </c>
      <c r="W190" s="6">
        <f t="shared" si="4"/>
        <v>2</v>
      </c>
      <c r="X190" s="6" t="str">
        <f t="shared" si="5"/>
        <v>Sim</v>
      </c>
    </row>
    <row r="191" spans="1:24" ht="15" customHeight="1" x14ac:dyDescent="0.3">
      <c r="A191" s="1" t="s">
        <v>671</v>
      </c>
      <c r="B191" s="1" t="s">
        <v>25</v>
      </c>
      <c r="C191" s="1" t="s">
        <v>606</v>
      </c>
      <c r="D191" s="1" t="s">
        <v>408</v>
      </c>
      <c r="E191" s="3">
        <v>46199.587500000001</v>
      </c>
      <c r="F191" s="3">
        <v>46199.711111111101</v>
      </c>
      <c r="G191" s="3">
        <v>46199.711111111101</v>
      </c>
      <c r="H191" s="1" t="s">
        <v>42</v>
      </c>
      <c r="I191" s="1" t="s">
        <v>672</v>
      </c>
      <c r="J191" s="1" t="s">
        <v>613</v>
      </c>
      <c r="K191" s="1" t="s">
        <v>51</v>
      </c>
      <c r="L191" s="1" t="s">
        <v>31</v>
      </c>
      <c r="M191" s="1" t="s">
        <v>45</v>
      </c>
      <c r="N191" s="4">
        <v>36</v>
      </c>
      <c r="O191" s="1" t="s">
        <v>46</v>
      </c>
      <c r="P191" s="1" t="s">
        <v>614</v>
      </c>
      <c r="R191" s="1" t="s">
        <v>36</v>
      </c>
      <c r="S191" s="5">
        <v>10680</v>
      </c>
      <c r="U191" s="1" t="s">
        <v>38</v>
      </c>
      <c r="V191" s="3"/>
      <c r="W191" s="6">
        <f t="shared" si="4"/>
        <v>2</v>
      </c>
      <c r="X191" s="6" t="str">
        <f t="shared" si="5"/>
        <v>Sim</v>
      </c>
    </row>
    <row r="192" spans="1:24" ht="15" customHeight="1" x14ac:dyDescent="0.3">
      <c r="A192" s="1" t="s">
        <v>673</v>
      </c>
      <c r="B192" s="1" t="s">
        <v>25</v>
      </c>
      <c r="C192" s="1" t="s">
        <v>606</v>
      </c>
      <c r="D192" s="1" t="s">
        <v>408</v>
      </c>
      <c r="E192" s="3">
        <v>46188.463888888902</v>
      </c>
      <c r="F192" s="3">
        <v>46188.577777777798</v>
      </c>
      <c r="G192" s="3">
        <v>46188.577777777798</v>
      </c>
      <c r="H192" s="1" t="s">
        <v>42</v>
      </c>
      <c r="I192" s="1" t="s">
        <v>674</v>
      </c>
      <c r="J192" s="1" t="s">
        <v>675</v>
      </c>
      <c r="K192" s="1" t="s">
        <v>51</v>
      </c>
      <c r="L192" s="1" t="s">
        <v>31</v>
      </c>
      <c r="M192" s="1" t="s">
        <v>45</v>
      </c>
      <c r="N192" s="4">
        <v>36</v>
      </c>
      <c r="O192" s="1" t="s">
        <v>46</v>
      </c>
      <c r="P192" s="1" t="s">
        <v>47</v>
      </c>
      <c r="R192" s="1" t="s">
        <v>36</v>
      </c>
      <c r="S192" s="5">
        <v>9840</v>
      </c>
      <c r="U192" s="1" t="s">
        <v>38</v>
      </c>
      <c r="V192" s="3"/>
      <c r="W192" s="6">
        <f t="shared" si="4"/>
        <v>1</v>
      </c>
      <c r="X192" s="6" t="str">
        <f t="shared" si="5"/>
        <v>Não</v>
      </c>
    </row>
    <row r="193" spans="1:24" ht="15" customHeight="1" x14ac:dyDescent="0.3">
      <c r="A193" s="1" t="s">
        <v>676</v>
      </c>
      <c r="B193" s="1" t="s">
        <v>25</v>
      </c>
      <c r="C193" s="1" t="s">
        <v>677</v>
      </c>
      <c r="D193" s="1" t="s">
        <v>5</v>
      </c>
      <c r="E193" s="3">
        <v>46224.755555555603</v>
      </c>
      <c r="F193" s="3">
        <v>46234.416666666701</v>
      </c>
      <c r="G193" s="3">
        <v>46234.416666666701</v>
      </c>
      <c r="H193" s="1" t="s">
        <v>42</v>
      </c>
      <c r="I193" s="1" t="s">
        <v>678</v>
      </c>
      <c r="J193" s="1" t="s">
        <v>679</v>
      </c>
      <c r="K193" s="1" t="s">
        <v>51</v>
      </c>
      <c r="L193" s="1" t="s">
        <v>31</v>
      </c>
      <c r="M193" s="1" t="s">
        <v>680</v>
      </c>
      <c r="N193" s="4">
        <v>36</v>
      </c>
      <c r="O193" s="1" t="s">
        <v>46</v>
      </c>
      <c r="P193" s="1" t="s">
        <v>47</v>
      </c>
      <c r="Q193" s="1" t="s">
        <v>145</v>
      </c>
      <c r="R193" s="1" t="s">
        <v>36</v>
      </c>
      <c r="S193" s="5">
        <v>227580</v>
      </c>
      <c r="T193" s="1" t="s">
        <v>681</v>
      </c>
      <c r="U193" s="1" t="s">
        <v>120</v>
      </c>
      <c r="V193" s="3">
        <v>46227.389583333301</v>
      </c>
      <c r="W193" s="6">
        <f t="shared" si="4"/>
        <v>1</v>
      </c>
      <c r="X193" s="6" t="str">
        <f t="shared" si="5"/>
        <v>Não</v>
      </c>
    </row>
    <row r="194" spans="1:24" ht="15" customHeight="1" x14ac:dyDescent="0.3">
      <c r="A194" s="1" t="s">
        <v>682</v>
      </c>
      <c r="B194" s="1" t="s">
        <v>25</v>
      </c>
      <c r="C194" s="1" t="s">
        <v>677</v>
      </c>
      <c r="D194" s="1" t="s">
        <v>408</v>
      </c>
      <c r="E194" s="3">
        <v>46196.653472222199</v>
      </c>
      <c r="F194" s="3">
        <v>46198.433333333298</v>
      </c>
      <c r="G194" s="3">
        <v>46198.433333333298</v>
      </c>
      <c r="H194" s="1" t="s">
        <v>42</v>
      </c>
      <c r="I194" s="1" t="s">
        <v>683</v>
      </c>
      <c r="J194" s="1" t="s">
        <v>684</v>
      </c>
      <c r="K194" s="1" t="s">
        <v>30</v>
      </c>
      <c r="L194" s="1" t="s">
        <v>31</v>
      </c>
      <c r="M194" s="1" t="s">
        <v>45</v>
      </c>
      <c r="N194" s="4">
        <v>36</v>
      </c>
      <c r="O194" s="1" t="s">
        <v>46</v>
      </c>
      <c r="P194" s="1" t="s">
        <v>47</v>
      </c>
      <c r="R194" s="1" t="s">
        <v>36</v>
      </c>
      <c r="S194" s="5">
        <v>153780</v>
      </c>
      <c r="U194" s="1" t="s">
        <v>120</v>
      </c>
      <c r="V194" s="3"/>
      <c r="W194" s="6">
        <f t="shared" ref="W194:W257" si="6">COUNTIFS($J$2:$J$417,J194,$C$2:$C$417,C194)</f>
        <v>1</v>
      </c>
      <c r="X194" s="6" t="str">
        <f t="shared" ref="X194:X257" si="7">IF(W194&gt;1,"Sim","Não")</f>
        <v>Não</v>
      </c>
    </row>
    <row r="195" spans="1:24" ht="15" customHeight="1" x14ac:dyDescent="0.3">
      <c r="A195" s="1" t="s">
        <v>685</v>
      </c>
      <c r="B195" s="1" t="s">
        <v>25</v>
      </c>
      <c r="C195" s="1" t="s">
        <v>686</v>
      </c>
      <c r="D195" s="1" t="s">
        <v>49</v>
      </c>
      <c r="E195" s="3">
        <v>46275.448611111096</v>
      </c>
      <c r="F195" s="3"/>
      <c r="G195" s="3">
        <v>46275.604166666701</v>
      </c>
      <c r="H195" s="1" t="s">
        <v>42</v>
      </c>
      <c r="I195" s="1" t="s">
        <v>687</v>
      </c>
      <c r="J195" s="1" t="s">
        <v>305</v>
      </c>
      <c r="K195" s="1" t="s">
        <v>30</v>
      </c>
      <c r="L195" s="1" t="s">
        <v>31</v>
      </c>
      <c r="M195" s="1" t="s">
        <v>32</v>
      </c>
      <c r="N195" s="4">
        <v>36</v>
      </c>
      <c r="O195" s="1" t="s">
        <v>46</v>
      </c>
      <c r="P195" s="1" t="s">
        <v>47</v>
      </c>
      <c r="R195" s="1" t="s">
        <v>36</v>
      </c>
      <c r="S195" s="5"/>
      <c r="U195" s="1" t="s">
        <v>38</v>
      </c>
      <c r="V195" s="3"/>
      <c r="W195" s="6">
        <f t="shared" si="6"/>
        <v>2</v>
      </c>
      <c r="X195" s="6" t="str">
        <f t="shared" si="7"/>
        <v>Sim</v>
      </c>
    </row>
    <row r="196" spans="1:24" ht="15" customHeight="1" x14ac:dyDescent="0.3">
      <c r="A196" s="1" t="s">
        <v>688</v>
      </c>
      <c r="B196" s="1" t="s">
        <v>25</v>
      </c>
      <c r="C196" s="1" t="s">
        <v>686</v>
      </c>
      <c r="D196" s="1" t="s">
        <v>21</v>
      </c>
      <c r="E196" s="3">
        <v>46274.4819444444</v>
      </c>
      <c r="F196" s="3"/>
      <c r="G196" s="3">
        <v>46275.3930555556</v>
      </c>
      <c r="H196" s="1" t="s">
        <v>42</v>
      </c>
      <c r="I196" s="1" t="s">
        <v>689</v>
      </c>
      <c r="J196" s="1" t="s">
        <v>690</v>
      </c>
      <c r="K196" s="1" t="s">
        <v>30</v>
      </c>
      <c r="L196" s="1" t="s">
        <v>31</v>
      </c>
      <c r="M196" s="1" t="s">
        <v>32</v>
      </c>
      <c r="N196" s="4">
        <v>36</v>
      </c>
      <c r="O196" s="1" t="s">
        <v>46</v>
      </c>
      <c r="P196" s="1" t="s">
        <v>447</v>
      </c>
      <c r="Q196" s="1" t="s">
        <v>68</v>
      </c>
      <c r="R196" s="1" t="s">
        <v>36</v>
      </c>
      <c r="S196" s="5">
        <v>78720</v>
      </c>
      <c r="T196" s="1" t="s">
        <v>69</v>
      </c>
      <c r="U196" s="1" t="s">
        <v>38</v>
      </c>
      <c r="V196" s="3">
        <v>46275.3930555556</v>
      </c>
      <c r="W196" s="6">
        <f t="shared" si="6"/>
        <v>8</v>
      </c>
      <c r="X196" s="6" t="str">
        <f t="shared" si="7"/>
        <v>Sim</v>
      </c>
    </row>
    <row r="197" spans="1:24" ht="15" customHeight="1" x14ac:dyDescent="0.3">
      <c r="A197" s="1" t="s">
        <v>691</v>
      </c>
      <c r="B197" s="1" t="s">
        <v>25</v>
      </c>
      <c r="C197" s="1" t="s">
        <v>686</v>
      </c>
      <c r="D197" s="1" t="s">
        <v>21</v>
      </c>
      <c r="E197" s="3">
        <v>46267.6069444444</v>
      </c>
      <c r="F197" s="3"/>
      <c r="G197" s="3">
        <v>46273.661805555603</v>
      </c>
      <c r="H197" s="1" t="s">
        <v>42</v>
      </c>
      <c r="I197" s="1" t="s">
        <v>692</v>
      </c>
      <c r="J197" s="1" t="s">
        <v>693</v>
      </c>
      <c r="K197" s="1" t="s">
        <v>30</v>
      </c>
      <c r="L197" s="1" t="s">
        <v>31</v>
      </c>
      <c r="M197" s="1" t="s">
        <v>32</v>
      </c>
      <c r="N197" s="4">
        <v>36</v>
      </c>
      <c r="O197" s="1" t="s">
        <v>46</v>
      </c>
      <c r="P197" s="1" t="s">
        <v>694</v>
      </c>
      <c r="Q197" s="1" t="s">
        <v>68</v>
      </c>
      <c r="R197" s="1" t="s">
        <v>36</v>
      </c>
      <c r="S197" s="5">
        <v>523140</v>
      </c>
      <c r="T197" s="1" t="s">
        <v>695</v>
      </c>
      <c r="U197" s="1" t="s">
        <v>38</v>
      </c>
      <c r="V197" s="3">
        <v>46273.661805555603</v>
      </c>
      <c r="W197" s="6">
        <f t="shared" si="6"/>
        <v>1</v>
      </c>
      <c r="X197" s="6" t="str">
        <f t="shared" si="7"/>
        <v>Não</v>
      </c>
    </row>
    <row r="198" spans="1:24" ht="15" customHeight="1" x14ac:dyDescent="0.3">
      <c r="A198" s="1" t="s">
        <v>696</v>
      </c>
      <c r="B198" s="1" t="s">
        <v>25</v>
      </c>
      <c r="C198" s="1" t="s">
        <v>686</v>
      </c>
      <c r="D198" s="1" t="s">
        <v>21</v>
      </c>
      <c r="E198" s="3">
        <v>46268.593055555597</v>
      </c>
      <c r="F198" s="3"/>
      <c r="G198" s="3">
        <v>46269.34375</v>
      </c>
      <c r="H198" s="1" t="s">
        <v>42</v>
      </c>
      <c r="I198" s="1" t="s">
        <v>697</v>
      </c>
      <c r="J198" s="1" t="s">
        <v>698</v>
      </c>
      <c r="K198" s="1" t="s">
        <v>30</v>
      </c>
      <c r="L198" s="1" t="s">
        <v>31</v>
      </c>
      <c r="M198" s="1" t="s">
        <v>62</v>
      </c>
      <c r="N198" s="4">
        <v>36</v>
      </c>
      <c r="O198" s="1" t="s">
        <v>46</v>
      </c>
      <c r="P198" s="1" t="s">
        <v>47</v>
      </c>
      <c r="Q198" s="1" t="s">
        <v>35</v>
      </c>
      <c r="R198" s="1" t="s">
        <v>36</v>
      </c>
      <c r="S198" s="5">
        <v>64860</v>
      </c>
      <c r="T198" s="1" t="s">
        <v>699</v>
      </c>
      <c r="U198" s="1" t="s">
        <v>38</v>
      </c>
      <c r="V198" s="3">
        <v>46269.34375</v>
      </c>
      <c r="W198" s="6">
        <f t="shared" si="6"/>
        <v>1</v>
      </c>
      <c r="X198" s="6" t="str">
        <f t="shared" si="7"/>
        <v>Não</v>
      </c>
    </row>
    <row r="199" spans="1:24" ht="15" customHeight="1" x14ac:dyDescent="0.3">
      <c r="A199" s="1" t="s">
        <v>700</v>
      </c>
      <c r="B199" s="1" t="s">
        <v>25</v>
      </c>
      <c r="C199" s="1" t="s">
        <v>686</v>
      </c>
      <c r="D199" s="1" t="s">
        <v>21</v>
      </c>
      <c r="E199" s="3">
        <v>46274.565972222197</v>
      </c>
      <c r="F199" s="3"/>
      <c r="G199" s="3">
        <v>46275.458333333299</v>
      </c>
      <c r="H199" s="1" t="s">
        <v>42</v>
      </c>
      <c r="I199" s="1" t="s">
        <v>701</v>
      </c>
      <c r="J199" s="1" t="s">
        <v>305</v>
      </c>
      <c r="K199" s="1" t="s">
        <v>30</v>
      </c>
      <c r="L199" s="1" t="s">
        <v>31</v>
      </c>
      <c r="M199" s="1" t="s">
        <v>32</v>
      </c>
      <c r="N199" s="4">
        <v>36</v>
      </c>
      <c r="O199" s="1" t="s">
        <v>46</v>
      </c>
      <c r="P199" s="1" t="s">
        <v>47</v>
      </c>
      <c r="Q199" s="1" t="s">
        <v>68</v>
      </c>
      <c r="R199" s="1" t="s">
        <v>36</v>
      </c>
      <c r="S199" s="5">
        <v>77100</v>
      </c>
      <c r="T199" s="1" t="s">
        <v>443</v>
      </c>
      <c r="U199" s="1" t="s">
        <v>38</v>
      </c>
      <c r="V199" s="3">
        <v>46275.458333333299</v>
      </c>
      <c r="W199" s="6">
        <f t="shared" si="6"/>
        <v>2</v>
      </c>
      <c r="X199" s="6" t="str">
        <f t="shared" si="7"/>
        <v>Sim</v>
      </c>
    </row>
    <row r="200" spans="1:24" ht="15" customHeight="1" x14ac:dyDescent="0.3">
      <c r="A200" s="1" t="s">
        <v>702</v>
      </c>
      <c r="B200" s="1" t="s">
        <v>25</v>
      </c>
      <c r="C200" s="1" t="s">
        <v>686</v>
      </c>
      <c r="D200" s="1" t="s">
        <v>5</v>
      </c>
      <c r="E200" s="3">
        <v>46239.7006944444</v>
      </c>
      <c r="F200" s="3">
        <v>46251.584027777797</v>
      </c>
      <c r="G200" s="3">
        <v>46251.584027777797</v>
      </c>
      <c r="H200" s="1" t="s">
        <v>42</v>
      </c>
      <c r="I200" s="1" t="s">
        <v>703</v>
      </c>
      <c r="J200" s="1" t="s">
        <v>704</v>
      </c>
      <c r="K200" s="1" t="s">
        <v>30</v>
      </c>
      <c r="L200" s="1" t="s">
        <v>31</v>
      </c>
      <c r="M200" s="1" t="s">
        <v>32</v>
      </c>
      <c r="N200" s="4">
        <v>36</v>
      </c>
      <c r="O200" s="1" t="s">
        <v>46</v>
      </c>
      <c r="P200" s="1" t="s">
        <v>176</v>
      </c>
      <c r="Q200" s="1" t="s">
        <v>68</v>
      </c>
      <c r="R200" s="1" t="s">
        <v>36</v>
      </c>
      <c r="S200" s="5">
        <v>421020</v>
      </c>
      <c r="T200" s="1" t="s">
        <v>434</v>
      </c>
      <c r="U200" s="1" t="s">
        <v>38</v>
      </c>
      <c r="V200" s="3">
        <v>46244.573611111096</v>
      </c>
      <c r="W200" s="6">
        <f t="shared" si="6"/>
        <v>1</v>
      </c>
      <c r="X200" s="6" t="str">
        <f t="shared" si="7"/>
        <v>Não</v>
      </c>
    </row>
    <row r="201" spans="1:24" ht="15" customHeight="1" x14ac:dyDescent="0.3">
      <c r="A201" s="1" t="s">
        <v>705</v>
      </c>
      <c r="B201" s="1" t="s">
        <v>25</v>
      </c>
      <c r="C201" s="1" t="s">
        <v>686</v>
      </c>
      <c r="D201" s="1" t="s">
        <v>5</v>
      </c>
      <c r="E201" s="3">
        <v>46223.4597222222</v>
      </c>
      <c r="F201" s="3">
        <v>46231.500694444498</v>
      </c>
      <c r="G201" s="3">
        <v>46231.500694444498</v>
      </c>
      <c r="H201" s="1" t="s">
        <v>42</v>
      </c>
      <c r="I201" s="1" t="s">
        <v>706</v>
      </c>
      <c r="J201" s="1" t="s">
        <v>690</v>
      </c>
      <c r="K201" s="1" t="s">
        <v>30</v>
      </c>
      <c r="L201" s="1" t="s">
        <v>31</v>
      </c>
      <c r="M201" s="1" t="s">
        <v>32</v>
      </c>
      <c r="N201" s="4">
        <v>36</v>
      </c>
      <c r="O201" s="1" t="s">
        <v>46</v>
      </c>
      <c r="P201" s="1" t="s">
        <v>447</v>
      </c>
      <c r="Q201" s="1" t="s">
        <v>68</v>
      </c>
      <c r="R201" s="1" t="s">
        <v>36</v>
      </c>
      <c r="S201" s="5">
        <v>87000</v>
      </c>
      <c r="T201" s="1" t="s">
        <v>69</v>
      </c>
      <c r="U201" s="1" t="s">
        <v>38</v>
      </c>
      <c r="V201" s="3">
        <v>46224.466666666704</v>
      </c>
      <c r="W201" s="6">
        <f t="shared" si="6"/>
        <v>8</v>
      </c>
      <c r="X201" s="6" t="str">
        <f t="shared" si="7"/>
        <v>Sim</v>
      </c>
    </row>
    <row r="202" spans="1:24" ht="15" customHeight="1" x14ac:dyDescent="0.3">
      <c r="A202" s="1" t="s">
        <v>707</v>
      </c>
      <c r="B202" s="1" t="s">
        <v>25</v>
      </c>
      <c r="C202" s="1" t="s">
        <v>686</v>
      </c>
      <c r="D202" s="1" t="s">
        <v>5</v>
      </c>
      <c r="E202" s="3">
        <v>46219.704861111102</v>
      </c>
      <c r="F202" s="3">
        <v>46230.459027777797</v>
      </c>
      <c r="G202" s="3">
        <v>46230.459027777797</v>
      </c>
      <c r="H202" s="1" t="s">
        <v>42</v>
      </c>
      <c r="I202" s="1" t="s">
        <v>708</v>
      </c>
      <c r="J202" s="1" t="s">
        <v>189</v>
      </c>
      <c r="K202" s="1" t="s">
        <v>30</v>
      </c>
      <c r="L202" s="1" t="s">
        <v>31</v>
      </c>
      <c r="M202" s="1" t="s">
        <v>32</v>
      </c>
      <c r="N202" s="4">
        <v>36</v>
      </c>
      <c r="O202" s="1" t="s">
        <v>46</v>
      </c>
      <c r="P202" s="1" t="s">
        <v>447</v>
      </c>
      <c r="Q202" s="1" t="s">
        <v>68</v>
      </c>
      <c r="R202" s="1" t="s">
        <v>36</v>
      </c>
      <c r="S202" s="5">
        <v>321960</v>
      </c>
      <c r="T202" s="1" t="s">
        <v>434</v>
      </c>
      <c r="U202" s="1" t="s">
        <v>38</v>
      </c>
      <c r="V202" s="3">
        <v>46223.431250000001</v>
      </c>
      <c r="W202" s="6">
        <f t="shared" si="6"/>
        <v>6</v>
      </c>
      <c r="X202" s="6" t="str">
        <f t="shared" si="7"/>
        <v>Sim</v>
      </c>
    </row>
    <row r="203" spans="1:24" ht="15" customHeight="1" x14ac:dyDescent="0.3">
      <c r="A203" s="1" t="s">
        <v>709</v>
      </c>
      <c r="B203" s="1" t="s">
        <v>25</v>
      </c>
      <c r="C203" s="1" t="s">
        <v>686</v>
      </c>
      <c r="D203" s="1" t="s">
        <v>5</v>
      </c>
      <c r="E203" s="3">
        <v>46198.698611111096</v>
      </c>
      <c r="F203" s="3">
        <v>46210.833333333299</v>
      </c>
      <c r="G203" s="3">
        <v>46210.833333333299</v>
      </c>
      <c r="H203" s="1" t="s">
        <v>42</v>
      </c>
      <c r="I203" s="1" t="s">
        <v>710</v>
      </c>
      <c r="J203" s="1" t="s">
        <v>118</v>
      </c>
      <c r="K203" s="1" t="s">
        <v>30</v>
      </c>
      <c r="L203" s="1" t="s">
        <v>31</v>
      </c>
      <c r="M203" s="1" t="s">
        <v>32</v>
      </c>
      <c r="N203" s="4">
        <v>36</v>
      </c>
      <c r="O203" s="1" t="s">
        <v>246</v>
      </c>
      <c r="P203" s="1" t="s">
        <v>447</v>
      </c>
      <c r="Q203" s="1" t="s">
        <v>35</v>
      </c>
      <c r="R203" s="1" t="s">
        <v>36</v>
      </c>
      <c r="S203" s="5">
        <v>443580</v>
      </c>
      <c r="T203" s="1" t="s">
        <v>711</v>
      </c>
      <c r="U203" s="1" t="s">
        <v>38</v>
      </c>
      <c r="V203" s="3">
        <v>46203.832638888904</v>
      </c>
      <c r="W203" s="6">
        <f t="shared" si="6"/>
        <v>19</v>
      </c>
      <c r="X203" s="6" t="str">
        <f t="shared" si="7"/>
        <v>Sim</v>
      </c>
    </row>
    <row r="204" spans="1:24" ht="15" customHeight="1" x14ac:dyDescent="0.3">
      <c r="A204" s="1" t="s">
        <v>712</v>
      </c>
      <c r="B204" s="1" t="s">
        <v>25</v>
      </c>
      <c r="C204" s="1" t="s">
        <v>686</v>
      </c>
      <c r="D204" s="1" t="s">
        <v>5</v>
      </c>
      <c r="E204" s="3">
        <v>46199.668055555601</v>
      </c>
      <c r="F204" s="3">
        <v>46210.875</v>
      </c>
      <c r="G204" s="3">
        <v>46210.875</v>
      </c>
      <c r="H204" s="1" t="s">
        <v>42</v>
      </c>
      <c r="I204" s="1" t="s">
        <v>713</v>
      </c>
      <c r="J204" s="1" t="s">
        <v>714</v>
      </c>
      <c r="K204" s="1" t="s">
        <v>30</v>
      </c>
      <c r="L204" s="1" t="s">
        <v>31</v>
      </c>
      <c r="M204" s="1" t="s">
        <v>32</v>
      </c>
      <c r="N204" s="4">
        <v>36</v>
      </c>
      <c r="O204" s="1" t="s">
        <v>46</v>
      </c>
      <c r="P204" s="1" t="s">
        <v>715</v>
      </c>
      <c r="Q204" s="1" t="s">
        <v>35</v>
      </c>
      <c r="R204" s="1" t="s">
        <v>36</v>
      </c>
      <c r="S204" s="5">
        <v>359940</v>
      </c>
      <c r="T204" s="1" t="s">
        <v>716</v>
      </c>
      <c r="U204" s="1" t="s">
        <v>38</v>
      </c>
      <c r="V204" s="3">
        <v>46203.834027777797</v>
      </c>
      <c r="W204" s="6">
        <f t="shared" si="6"/>
        <v>1</v>
      </c>
      <c r="X204" s="6" t="str">
        <f t="shared" si="7"/>
        <v>Não</v>
      </c>
    </row>
    <row r="205" spans="1:24" ht="15" customHeight="1" x14ac:dyDescent="0.3">
      <c r="A205" s="1" t="s">
        <v>717</v>
      </c>
      <c r="B205" s="1" t="s">
        <v>25</v>
      </c>
      <c r="C205" s="1" t="s">
        <v>686</v>
      </c>
      <c r="D205" s="1" t="s">
        <v>5</v>
      </c>
      <c r="E205" s="3">
        <v>46199.560416666704</v>
      </c>
      <c r="F205" s="3">
        <v>46210.375</v>
      </c>
      <c r="G205" s="3">
        <v>46210.375</v>
      </c>
      <c r="H205" s="1" t="s">
        <v>42</v>
      </c>
      <c r="I205" s="1" t="s">
        <v>718</v>
      </c>
      <c r="J205" s="1" t="s">
        <v>75</v>
      </c>
      <c r="K205" s="1" t="s">
        <v>51</v>
      </c>
      <c r="L205" s="1" t="s">
        <v>31</v>
      </c>
      <c r="M205" s="1" t="s">
        <v>32</v>
      </c>
      <c r="N205" s="4">
        <v>36</v>
      </c>
      <c r="O205" s="1" t="s">
        <v>46</v>
      </c>
      <c r="P205" s="1" t="s">
        <v>47</v>
      </c>
      <c r="Q205" s="1" t="s">
        <v>35</v>
      </c>
      <c r="R205" s="1" t="s">
        <v>36</v>
      </c>
      <c r="S205" s="5">
        <v>327540</v>
      </c>
      <c r="T205" s="1" t="s">
        <v>719</v>
      </c>
      <c r="U205" s="1" t="s">
        <v>38</v>
      </c>
      <c r="V205" s="3">
        <v>46203.351388888899</v>
      </c>
      <c r="W205" s="6">
        <f t="shared" si="6"/>
        <v>1</v>
      </c>
      <c r="X205" s="6" t="str">
        <f t="shared" si="7"/>
        <v>Não</v>
      </c>
    </row>
    <row r="206" spans="1:24" ht="15" customHeight="1" x14ac:dyDescent="0.3">
      <c r="A206" s="1" t="s">
        <v>720</v>
      </c>
      <c r="B206" s="1" t="s">
        <v>25</v>
      </c>
      <c r="C206" s="1" t="s">
        <v>686</v>
      </c>
      <c r="D206" s="1" t="s">
        <v>5</v>
      </c>
      <c r="E206" s="3">
        <v>46199.693055555603</v>
      </c>
      <c r="F206" s="3">
        <v>46210.375</v>
      </c>
      <c r="G206" s="3">
        <v>46210.375</v>
      </c>
      <c r="H206" s="1" t="s">
        <v>42</v>
      </c>
      <c r="I206" s="1" t="s">
        <v>721</v>
      </c>
      <c r="J206" s="1" t="s">
        <v>690</v>
      </c>
      <c r="K206" s="1" t="s">
        <v>51</v>
      </c>
      <c r="L206" s="1" t="s">
        <v>31</v>
      </c>
      <c r="M206" s="1" t="s">
        <v>32</v>
      </c>
      <c r="N206" s="4">
        <v>36</v>
      </c>
      <c r="O206" s="1" t="s">
        <v>46</v>
      </c>
      <c r="P206" s="1" t="s">
        <v>447</v>
      </c>
      <c r="Q206" s="1" t="s">
        <v>145</v>
      </c>
      <c r="R206" s="1" t="s">
        <v>36</v>
      </c>
      <c r="S206" s="5">
        <v>316140</v>
      </c>
      <c r="T206" s="1" t="s">
        <v>722</v>
      </c>
      <c r="U206" s="1" t="s">
        <v>38</v>
      </c>
      <c r="V206" s="3">
        <v>46203.352083333302</v>
      </c>
      <c r="W206" s="6">
        <f t="shared" si="6"/>
        <v>8</v>
      </c>
      <c r="X206" s="6" t="str">
        <f t="shared" si="7"/>
        <v>Sim</v>
      </c>
    </row>
    <row r="207" spans="1:24" ht="15" customHeight="1" x14ac:dyDescent="0.3">
      <c r="A207" s="1" t="s">
        <v>723</v>
      </c>
      <c r="B207" s="1" t="s">
        <v>25</v>
      </c>
      <c r="C207" s="1" t="s">
        <v>686</v>
      </c>
      <c r="D207" s="1" t="s">
        <v>5</v>
      </c>
      <c r="E207" s="3">
        <v>46195.723611111098</v>
      </c>
      <c r="F207" s="3">
        <v>46203.625</v>
      </c>
      <c r="G207" s="3">
        <v>46203.625</v>
      </c>
      <c r="H207" s="1" t="s">
        <v>42</v>
      </c>
      <c r="I207" s="1" t="s">
        <v>724</v>
      </c>
      <c r="J207" s="1" t="s">
        <v>118</v>
      </c>
      <c r="K207" s="1" t="s">
        <v>51</v>
      </c>
      <c r="L207" s="1" t="s">
        <v>31</v>
      </c>
      <c r="M207" s="1" t="s">
        <v>32</v>
      </c>
      <c r="N207" s="4">
        <v>36</v>
      </c>
      <c r="O207" s="1" t="s">
        <v>46</v>
      </c>
      <c r="P207" s="1" t="s">
        <v>447</v>
      </c>
      <c r="Q207" s="1" t="s">
        <v>35</v>
      </c>
      <c r="R207" s="1" t="s">
        <v>36</v>
      </c>
      <c r="S207" s="5">
        <v>75540</v>
      </c>
      <c r="T207" s="1" t="s">
        <v>725</v>
      </c>
      <c r="U207" s="1" t="s">
        <v>38</v>
      </c>
      <c r="V207" s="3">
        <v>46196.597916666702</v>
      </c>
      <c r="W207" s="6">
        <f t="shared" si="6"/>
        <v>19</v>
      </c>
      <c r="X207" s="6" t="str">
        <f t="shared" si="7"/>
        <v>Sim</v>
      </c>
    </row>
    <row r="208" spans="1:24" ht="15" customHeight="1" x14ac:dyDescent="0.3">
      <c r="A208" s="1" t="s">
        <v>726</v>
      </c>
      <c r="B208" s="1" t="s">
        <v>25</v>
      </c>
      <c r="C208" s="1" t="s">
        <v>686</v>
      </c>
      <c r="D208" s="1" t="s">
        <v>5</v>
      </c>
      <c r="E208" s="3">
        <v>46230.515972222202</v>
      </c>
      <c r="F208" s="3">
        <v>46239.416666666701</v>
      </c>
      <c r="G208" s="3">
        <v>46239.416666666701</v>
      </c>
      <c r="H208" s="1" t="s">
        <v>42</v>
      </c>
      <c r="I208" s="1" t="s">
        <v>727</v>
      </c>
      <c r="J208" s="1" t="s">
        <v>728</v>
      </c>
      <c r="K208" s="1" t="s">
        <v>30</v>
      </c>
      <c r="L208" s="1" t="s">
        <v>31</v>
      </c>
      <c r="M208" s="1" t="s">
        <v>32</v>
      </c>
      <c r="N208" s="4">
        <v>36</v>
      </c>
      <c r="O208" s="1" t="s">
        <v>246</v>
      </c>
      <c r="P208" s="1" t="s">
        <v>729</v>
      </c>
      <c r="Q208" s="1" t="s">
        <v>68</v>
      </c>
      <c r="R208" s="1" t="s">
        <v>36</v>
      </c>
      <c r="S208" s="5">
        <v>161820</v>
      </c>
      <c r="T208" s="1" t="s">
        <v>434</v>
      </c>
      <c r="U208" s="1" t="s">
        <v>120</v>
      </c>
      <c r="V208" s="3">
        <v>46232.388888888898</v>
      </c>
      <c r="W208" s="6">
        <f t="shared" si="6"/>
        <v>1</v>
      </c>
      <c r="X208" s="6" t="str">
        <f t="shared" si="7"/>
        <v>Não</v>
      </c>
    </row>
    <row r="209" spans="1:24" ht="15" customHeight="1" x14ac:dyDescent="0.3">
      <c r="A209" s="1" t="s">
        <v>730</v>
      </c>
      <c r="B209" s="1" t="s">
        <v>25</v>
      </c>
      <c r="C209" s="1" t="s">
        <v>686</v>
      </c>
      <c r="D209" s="1" t="s">
        <v>5</v>
      </c>
      <c r="E209" s="3">
        <v>46223.693749999999</v>
      </c>
      <c r="F209" s="3">
        <v>46234.625</v>
      </c>
      <c r="G209" s="3">
        <v>46234.625</v>
      </c>
      <c r="H209" s="1" t="s">
        <v>42</v>
      </c>
      <c r="I209" s="1" t="s">
        <v>731</v>
      </c>
      <c r="J209" s="1" t="s">
        <v>732</v>
      </c>
      <c r="K209" s="1" t="s">
        <v>30</v>
      </c>
      <c r="L209" s="1" t="s">
        <v>31</v>
      </c>
      <c r="M209" s="1" t="s">
        <v>32</v>
      </c>
      <c r="N209" s="4">
        <v>36</v>
      </c>
      <c r="O209" s="1" t="s">
        <v>46</v>
      </c>
      <c r="P209" s="1" t="s">
        <v>447</v>
      </c>
      <c r="Q209" s="1" t="s">
        <v>35</v>
      </c>
      <c r="R209" s="1" t="s">
        <v>36</v>
      </c>
      <c r="S209" s="5">
        <v>338400</v>
      </c>
      <c r="T209" s="1" t="s">
        <v>733</v>
      </c>
      <c r="U209" s="1" t="s">
        <v>38</v>
      </c>
      <c r="V209" s="3">
        <v>46227.610416666699</v>
      </c>
      <c r="W209" s="6">
        <f t="shared" si="6"/>
        <v>2</v>
      </c>
      <c r="X209" s="6" t="str">
        <f t="shared" si="7"/>
        <v>Sim</v>
      </c>
    </row>
    <row r="210" spans="1:24" ht="15" customHeight="1" x14ac:dyDescent="0.3">
      <c r="A210" s="1" t="s">
        <v>734</v>
      </c>
      <c r="B210" s="1" t="s">
        <v>25</v>
      </c>
      <c r="C210" s="1" t="s">
        <v>686</v>
      </c>
      <c r="D210" s="1" t="s">
        <v>5</v>
      </c>
      <c r="E210" s="3">
        <v>46182.460416666698</v>
      </c>
      <c r="F210" s="3">
        <v>46192.667361111096</v>
      </c>
      <c r="G210" s="3">
        <v>46192.667361111096</v>
      </c>
      <c r="H210" s="1" t="s">
        <v>42</v>
      </c>
      <c r="I210" s="1" t="s">
        <v>735</v>
      </c>
      <c r="J210" s="1" t="s">
        <v>118</v>
      </c>
      <c r="K210" s="1" t="s">
        <v>30</v>
      </c>
      <c r="L210" s="1" t="s">
        <v>31</v>
      </c>
      <c r="M210" s="1" t="s">
        <v>32</v>
      </c>
      <c r="N210" s="4">
        <v>36</v>
      </c>
      <c r="O210" s="1" t="s">
        <v>46</v>
      </c>
      <c r="P210" s="1" t="s">
        <v>447</v>
      </c>
      <c r="Q210" s="1" t="s">
        <v>68</v>
      </c>
      <c r="R210" s="1" t="s">
        <v>36</v>
      </c>
      <c r="S210" s="5">
        <v>273960</v>
      </c>
      <c r="T210" s="1" t="s">
        <v>736</v>
      </c>
      <c r="U210" s="1" t="s">
        <v>38</v>
      </c>
      <c r="V210" s="3">
        <v>46185.631249999999</v>
      </c>
      <c r="W210" s="6">
        <f t="shared" si="6"/>
        <v>19</v>
      </c>
      <c r="X210" s="6" t="str">
        <f t="shared" si="7"/>
        <v>Sim</v>
      </c>
    </row>
    <row r="211" spans="1:24" ht="15" customHeight="1" x14ac:dyDescent="0.3">
      <c r="A211" s="1" t="s">
        <v>737</v>
      </c>
      <c r="B211" s="1" t="s">
        <v>25</v>
      </c>
      <c r="C211" s="1" t="s">
        <v>686</v>
      </c>
      <c r="D211" s="1" t="s">
        <v>5</v>
      </c>
      <c r="E211" s="3">
        <v>46233.484027777798</v>
      </c>
      <c r="F211" s="3">
        <v>46244.417361111096</v>
      </c>
      <c r="G211" s="3">
        <v>46244.417361111096</v>
      </c>
      <c r="H211" s="1" t="s">
        <v>42</v>
      </c>
      <c r="I211" s="1" t="s">
        <v>738</v>
      </c>
      <c r="J211" s="1" t="s">
        <v>732</v>
      </c>
      <c r="K211" s="1" t="s">
        <v>30</v>
      </c>
      <c r="L211" s="1" t="s">
        <v>31</v>
      </c>
      <c r="M211" s="1" t="s">
        <v>32</v>
      </c>
      <c r="N211" s="4">
        <v>36</v>
      </c>
      <c r="O211" s="1" t="s">
        <v>46</v>
      </c>
      <c r="P211" s="1" t="s">
        <v>447</v>
      </c>
      <c r="Q211" s="1" t="s">
        <v>35</v>
      </c>
      <c r="R211" s="1" t="s">
        <v>36</v>
      </c>
      <c r="S211" s="5">
        <v>338880</v>
      </c>
      <c r="T211" s="1" t="s">
        <v>69</v>
      </c>
      <c r="U211" s="1" t="s">
        <v>38</v>
      </c>
      <c r="V211" s="3">
        <v>46237.40625</v>
      </c>
      <c r="W211" s="6">
        <f t="shared" si="6"/>
        <v>2</v>
      </c>
      <c r="X211" s="6" t="str">
        <f t="shared" si="7"/>
        <v>Sim</v>
      </c>
    </row>
    <row r="212" spans="1:24" ht="15" customHeight="1" x14ac:dyDescent="0.3">
      <c r="A212" s="1" t="s">
        <v>739</v>
      </c>
      <c r="B212" s="1" t="s">
        <v>25</v>
      </c>
      <c r="C212" s="1" t="s">
        <v>686</v>
      </c>
      <c r="D212" s="1" t="s">
        <v>5</v>
      </c>
      <c r="E212" s="3">
        <v>46205.693055555603</v>
      </c>
      <c r="F212" s="3">
        <v>46213.583333333299</v>
      </c>
      <c r="G212" s="3">
        <v>46213.583333333299</v>
      </c>
      <c r="H212" s="1" t="s">
        <v>42</v>
      </c>
      <c r="I212" s="1" t="s">
        <v>740</v>
      </c>
      <c r="J212" s="1" t="s">
        <v>690</v>
      </c>
      <c r="K212" s="1" t="s">
        <v>51</v>
      </c>
      <c r="L212" s="1" t="s">
        <v>31</v>
      </c>
      <c r="M212" s="1" t="s">
        <v>32</v>
      </c>
      <c r="N212" s="4">
        <v>36</v>
      </c>
      <c r="O212" s="1" t="s">
        <v>46</v>
      </c>
      <c r="P212" s="1" t="s">
        <v>447</v>
      </c>
      <c r="Q212" s="1" t="s">
        <v>35</v>
      </c>
      <c r="R212" s="1" t="s">
        <v>36</v>
      </c>
      <c r="S212" s="5">
        <v>75720</v>
      </c>
      <c r="T212" s="1" t="s">
        <v>69</v>
      </c>
      <c r="U212" s="1" t="s">
        <v>38</v>
      </c>
      <c r="V212" s="3">
        <v>46206.569444444503</v>
      </c>
      <c r="W212" s="6">
        <f t="shared" si="6"/>
        <v>8</v>
      </c>
      <c r="X212" s="6" t="str">
        <f t="shared" si="7"/>
        <v>Sim</v>
      </c>
    </row>
    <row r="213" spans="1:24" ht="15" customHeight="1" x14ac:dyDescent="0.3">
      <c r="A213" s="1" t="s">
        <v>741</v>
      </c>
      <c r="B213" s="1" t="s">
        <v>25</v>
      </c>
      <c r="C213" s="1" t="s">
        <v>686</v>
      </c>
      <c r="D213" s="1" t="s">
        <v>5</v>
      </c>
      <c r="E213" s="3">
        <v>46246.5</v>
      </c>
      <c r="F213" s="3">
        <v>46255.596527777801</v>
      </c>
      <c r="G213" s="3">
        <v>46255.596527777801</v>
      </c>
      <c r="H213" s="1" t="s">
        <v>42</v>
      </c>
      <c r="I213" s="1" t="s">
        <v>742</v>
      </c>
      <c r="J213" s="1" t="s">
        <v>690</v>
      </c>
      <c r="K213" s="1" t="s">
        <v>30</v>
      </c>
      <c r="L213" s="1" t="s">
        <v>31</v>
      </c>
      <c r="M213" s="1" t="s">
        <v>32</v>
      </c>
      <c r="N213" s="4">
        <v>36</v>
      </c>
      <c r="O213" s="1" t="s">
        <v>46</v>
      </c>
      <c r="P213" s="1" t="s">
        <v>447</v>
      </c>
      <c r="Q213" s="1" t="s">
        <v>68</v>
      </c>
      <c r="R213" s="1" t="s">
        <v>36</v>
      </c>
      <c r="S213" s="5">
        <v>767880</v>
      </c>
      <c r="T213" s="1" t="s">
        <v>743</v>
      </c>
      <c r="U213" s="1" t="s">
        <v>38</v>
      </c>
      <c r="V213" s="3">
        <v>46255.387499999997</v>
      </c>
      <c r="W213" s="6">
        <f t="shared" si="6"/>
        <v>8</v>
      </c>
      <c r="X213" s="6" t="str">
        <f t="shared" si="7"/>
        <v>Sim</v>
      </c>
    </row>
    <row r="214" spans="1:24" ht="15" customHeight="1" x14ac:dyDescent="0.3">
      <c r="A214" s="1" t="s">
        <v>744</v>
      </c>
      <c r="B214" s="1" t="s">
        <v>25</v>
      </c>
      <c r="C214" s="1" t="s">
        <v>686</v>
      </c>
      <c r="D214" s="1" t="s">
        <v>5</v>
      </c>
      <c r="E214" s="3">
        <v>46182.624305555597</v>
      </c>
      <c r="F214" s="3">
        <v>46190.709027777797</v>
      </c>
      <c r="G214" s="3">
        <v>46190.709027777797</v>
      </c>
      <c r="H214" s="1" t="s">
        <v>42</v>
      </c>
      <c r="I214" s="1" t="s">
        <v>745</v>
      </c>
      <c r="J214" s="1" t="s">
        <v>118</v>
      </c>
      <c r="K214" s="1" t="s">
        <v>30</v>
      </c>
      <c r="L214" s="1" t="s">
        <v>31</v>
      </c>
      <c r="M214" s="1" t="s">
        <v>32</v>
      </c>
      <c r="N214" s="4">
        <v>36</v>
      </c>
      <c r="O214" s="1" t="s">
        <v>246</v>
      </c>
      <c r="P214" s="1" t="s">
        <v>447</v>
      </c>
      <c r="Q214" s="1" t="s">
        <v>68</v>
      </c>
      <c r="R214" s="1" t="s">
        <v>36</v>
      </c>
      <c r="S214" s="5">
        <v>91860</v>
      </c>
      <c r="T214" s="1" t="s">
        <v>69</v>
      </c>
      <c r="U214" s="1" t="s">
        <v>38</v>
      </c>
      <c r="V214" s="3">
        <v>46183.6875</v>
      </c>
      <c r="W214" s="6">
        <f t="shared" si="6"/>
        <v>19</v>
      </c>
      <c r="X214" s="6" t="str">
        <f t="shared" si="7"/>
        <v>Sim</v>
      </c>
    </row>
    <row r="215" spans="1:24" ht="15" customHeight="1" x14ac:dyDescent="0.3">
      <c r="A215" s="1" t="s">
        <v>746</v>
      </c>
      <c r="B215" s="1" t="s">
        <v>25</v>
      </c>
      <c r="C215" s="1" t="s">
        <v>686</v>
      </c>
      <c r="D215" s="1" t="s">
        <v>5</v>
      </c>
      <c r="E215" s="3">
        <v>46220.429861111101</v>
      </c>
      <c r="F215" s="3">
        <v>46224.401388888902</v>
      </c>
      <c r="G215" s="3">
        <v>46224.401388888902</v>
      </c>
      <c r="H215" s="1" t="s">
        <v>42</v>
      </c>
      <c r="I215" s="1" t="s">
        <v>747</v>
      </c>
      <c r="J215" s="1" t="s">
        <v>748</v>
      </c>
      <c r="K215" s="1" t="s">
        <v>30</v>
      </c>
      <c r="L215" s="1" t="s">
        <v>31</v>
      </c>
      <c r="M215" s="1" t="s">
        <v>32</v>
      </c>
      <c r="N215" s="4">
        <v>36</v>
      </c>
      <c r="O215" s="1" t="s">
        <v>46</v>
      </c>
      <c r="P215" s="1" t="s">
        <v>447</v>
      </c>
      <c r="Q215" s="1" t="s">
        <v>35</v>
      </c>
      <c r="R215" s="1" t="s">
        <v>36</v>
      </c>
      <c r="S215" s="5">
        <v>254760</v>
      </c>
      <c r="T215" s="1" t="s">
        <v>69</v>
      </c>
      <c r="U215" s="1" t="s">
        <v>38</v>
      </c>
      <c r="V215" s="3">
        <v>46223.378472222197</v>
      </c>
      <c r="W215" s="6">
        <f t="shared" si="6"/>
        <v>3</v>
      </c>
      <c r="X215" s="6" t="str">
        <f t="shared" si="7"/>
        <v>Sim</v>
      </c>
    </row>
    <row r="216" spans="1:24" ht="15" customHeight="1" x14ac:dyDescent="0.3">
      <c r="A216" s="1" t="s">
        <v>749</v>
      </c>
      <c r="B216" s="1" t="s">
        <v>25</v>
      </c>
      <c r="C216" s="1" t="s">
        <v>686</v>
      </c>
      <c r="D216" s="1" t="s">
        <v>5</v>
      </c>
      <c r="E216" s="3">
        <v>46219.547916666699</v>
      </c>
      <c r="F216" s="3">
        <v>46227.708333333299</v>
      </c>
      <c r="G216" s="3">
        <v>46227.708333333299</v>
      </c>
      <c r="H216" s="1" t="s">
        <v>42</v>
      </c>
      <c r="I216" s="1" t="s">
        <v>750</v>
      </c>
      <c r="J216" s="1" t="s">
        <v>118</v>
      </c>
      <c r="K216" s="1" t="s">
        <v>30</v>
      </c>
      <c r="L216" s="1" t="s">
        <v>31</v>
      </c>
      <c r="M216" s="1" t="s">
        <v>32</v>
      </c>
      <c r="N216" s="4">
        <v>36</v>
      </c>
      <c r="O216" s="1" t="s">
        <v>246</v>
      </c>
      <c r="P216" s="1" t="s">
        <v>447</v>
      </c>
      <c r="Q216" s="1" t="s">
        <v>35</v>
      </c>
      <c r="R216" s="1" t="s">
        <v>36</v>
      </c>
      <c r="S216" s="5">
        <v>97860</v>
      </c>
      <c r="T216" s="1" t="s">
        <v>751</v>
      </c>
      <c r="U216" s="1" t="s">
        <v>38</v>
      </c>
      <c r="V216" s="3">
        <v>46220.680555555598</v>
      </c>
      <c r="W216" s="6">
        <f t="shared" si="6"/>
        <v>19</v>
      </c>
      <c r="X216" s="6" t="str">
        <f t="shared" si="7"/>
        <v>Sim</v>
      </c>
    </row>
    <row r="217" spans="1:24" ht="15" customHeight="1" x14ac:dyDescent="0.3">
      <c r="A217" s="1" t="s">
        <v>752</v>
      </c>
      <c r="B217" s="1" t="s">
        <v>25</v>
      </c>
      <c r="C217" s="1" t="s">
        <v>686</v>
      </c>
      <c r="D217" s="1" t="s">
        <v>5</v>
      </c>
      <c r="E217" s="3">
        <v>46219.448611111096</v>
      </c>
      <c r="F217" s="3">
        <v>46227.708333333299</v>
      </c>
      <c r="G217" s="3">
        <v>46227.708333333299</v>
      </c>
      <c r="H217" s="1" t="s">
        <v>42</v>
      </c>
      <c r="I217" s="1" t="s">
        <v>753</v>
      </c>
      <c r="J217" s="1" t="s">
        <v>118</v>
      </c>
      <c r="K217" s="1" t="s">
        <v>30</v>
      </c>
      <c r="L217" s="1" t="s">
        <v>31</v>
      </c>
      <c r="M217" s="1" t="s">
        <v>32</v>
      </c>
      <c r="N217" s="4">
        <v>36</v>
      </c>
      <c r="O217" s="1" t="s">
        <v>246</v>
      </c>
      <c r="P217" s="1" t="s">
        <v>447</v>
      </c>
      <c r="Q217" s="1" t="s">
        <v>35</v>
      </c>
      <c r="R217" s="1" t="s">
        <v>36</v>
      </c>
      <c r="S217" s="5">
        <v>106500</v>
      </c>
      <c r="T217" s="1" t="s">
        <v>751</v>
      </c>
      <c r="U217" s="1" t="s">
        <v>38</v>
      </c>
      <c r="V217" s="3">
        <v>46220.681250000001</v>
      </c>
      <c r="W217" s="6">
        <f t="shared" si="6"/>
        <v>19</v>
      </c>
      <c r="X217" s="6" t="str">
        <f t="shared" si="7"/>
        <v>Sim</v>
      </c>
    </row>
    <row r="218" spans="1:24" ht="15" customHeight="1" x14ac:dyDescent="0.3">
      <c r="A218" s="1" t="s">
        <v>754</v>
      </c>
      <c r="B218" s="1" t="s">
        <v>25</v>
      </c>
      <c r="C218" s="1" t="s">
        <v>686</v>
      </c>
      <c r="D218" s="1" t="s">
        <v>5</v>
      </c>
      <c r="E218" s="3">
        <v>46190.546527777798</v>
      </c>
      <c r="F218" s="3">
        <v>46202.833333333299</v>
      </c>
      <c r="G218" s="3">
        <v>46202.833333333299</v>
      </c>
      <c r="H218" s="1" t="s">
        <v>42</v>
      </c>
      <c r="I218" s="1" t="s">
        <v>755</v>
      </c>
      <c r="J218" s="1" t="s">
        <v>679</v>
      </c>
      <c r="K218" s="1" t="s">
        <v>30</v>
      </c>
      <c r="L218" s="1" t="s">
        <v>31</v>
      </c>
      <c r="M218" s="1" t="s">
        <v>32</v>
      </c>
      <c r="N218" s="4">
        <v>36</v>
      </c>
      <c r="O218" s="1" t="s">
        <v>46</v>
      </c>
      <c r="P218" s="1" t="s">
        <v>47</v>
      </c>
      <c r="Q218" s="1" t="s">
        <v>88</v>
      </c>
      <c r="R218" s="1" t="s">
        <v>36</v>
      </c>
      <c r="S218" s="5">
        <v>455700</v>
      </c>
      <c r="T218" s="1" t="s">
        <v>756</v>
      </c>
      <c r="U218" s="1" t="s">
        <v>120</v>
      </c>
      <c r="V218" s="3">
        <v>46195.820833333302</v>
      </c>
      <c r="W218" s="6">
        <f t="shared" si="6"/>
        <v>1</v>
      </c>
      <c r="X218" s="6" t="str">
        <f t="shared" si="7"/>
        <v>Não</v>
      </c>
    </row>
    <row r="219" spans="1:24" ht="15" customHeight="1" x14ac:dyDescent="0.3">
      <c r="A219" s="1" t="s">
        <v>757</v>
      </c>
      <c r="B219" s="1" t="s">
        <v>25</v>
      </c>
      <c r="C219" s="1" t="s">
        <v>686</v>
      </c>
      <c r="D219" s="1" t="s">
        <v>5</v>
      </c>
      <c r="E219" s="3">
        <v>46181.712500000001</v>
      </c>
      <c r="F219" s="3">
        <v>46189.458333333299</v>
      </c>
      <c r="G219" s="3">
        <v>46189.458333333299</v>
      </c>
      <c r="H219" s="1" t="s">
        <v>42</v>
      </c>
      <c r="I219" s="1" t="s">
        <v>758</v>
      </c>
      <c r="J219" s="1" t="s">
        <v>164</v>
      </c>
      <c r="K219" s="1" t="s">
        <v>30</v>
      </c>
      <c r="L219" s="1" t="s">
        <v>31</v>
      </c>
      <c r="M219" s="1" t="s">
        <v>32</v>
      </c>
      <c r="N219" s="4">
        <v>36</v>
      </c>
      <c r="O219" s="1" t="s">
        <v>46</v>
      </c>
      <c r="P219" s="1" t="s">
        <v>447</v>
      </c>
      <c r="Q219" s="1" t="s">
        <v>35</v>
      </c>
      <c r="R219" s="1" t="s">
        <v>36</v>
      </c>
      <c r="S219" s="5">
        <v>64200</v>
      </c>
      <c r="T219" s="1" t="s">
        <v>759</v>
      </c>
      <c r="U219" s="1" t="s">
        <v>38</v>
      </c>
      <c r="V219" s="3">
        <v>46182.4555555556</v>
      </c>
      <c r="W219" s="6">
        <f t="shared" si="6"/>
        <v>2</v>
      </c>
      <c r="X219" s="6" t="str">
        <f t="shared" si="7"/>
        <v>Sim</v>
      </c>
    </row>
    <row r="220" spans="1:24" ht="15" customHeight="1" x14ac:dyDescent="0.3">
      <c r="A220" s="1" t="s">
        <v>760</v>
      </c>
      <c r="B220" s="1" t="s">
        <v>25</v>
      </c>
      <c r="C220" s="1" t="s">
        <v>686</v>
      </c>
      <c r="D220" s="1" t="s">
        <v>5</v>
      </c>
      <c r="E220" s="3">
        <v>46183.65</v>
      </c>
      <c r="F220" s="3">
        <v>46192.625</v>
      </c>
      <c r="G220" s="3">
        <v>46192.625</v>
      </c>
      <c r="H220" s="1" t="s">
        <v>42</v>
      </c>
      <c r="I220" s="1" t="s">
        <v>761</v>
      </c>
      <c r="J220" s="1" t="s">
        <v>118</v>
      </c>
      <c r="K220" s="1" t="s">
        <v>51</v>
      </c>
      <c r="L220" s="1" t="s">
        <v>31</v>
      </c>
      <c r="M220" s="1" t="s">
        <v>32</v>
      </c>
      <c r="N220" s="4">
        <v>36</v>
      </c>
      <c r="O220" s="1" t="s">
        <v>246</v>
      </c>
      <c r="P220" s="1" t="s">
        <v>447</v>
      </c>
      <c r="Q220" s="1" t="s">
        <v>68</v>
      </c>
      <c r="R220" s="1" t="s">
        <v>36</v>
      </c>
      <c r="S220" s="5">
        <v>168000</v>
      </c>
      <c r="T220" s="1" t="s">
        <v>762</v>
      </c>
      <c r="U220" s="1" t="s">
        <v>38</v>
      </c>
      <c r="V220" s="3">
        <v>46185.594444444498</v>
      </c>
      <c r="W220" s="6">
        <f t="shared" si="6"/>
        <v>19</v>
      </c>
      <c r="X220" s="6" t="str">
        <f t="shared" si="7"/>
        <v>Sim</v>
      </c>
    </row>
    <row r="221" spans="1:24" ht="15" customHeight="1" x14ac:dyDescent="0.3">
      <c r="A221" s="1" t="s">
        <v>763</v>
      </c>
      <c r="B221" s="1" t="s">
        <v>25</v>
      </c>
      <c r="C221" s="1" t="s">
        <v>686</v>
      </c>
      <c r="D221" s="1" t="s">
        <v>5</v>
      </c>
      <c r="E221" s="3">
        <v>46212.758333333302</v>
      </c>
      <c r="F221" s="3">
        <v>46225.584027777797</v>
      </c>
      <c r="G221" s="3">
        <v>46225.584027777797</v>
      </c>
      <c r="H221" s="1" t="s">
        <v>42</v>
      </c>
      <c r="I221" s="1" t="s">
        <v>764</v>
      </c>
      <c r="J221" s="1" t="s">
        <v>118</v>
      </c>
      <c r="K221" s="1" t="s">
        <v>30</v>
      </c>
      <c r="L221" s="1" t="s">
        <v>31</v>
      </c>
      <c r="M221" s="1" t="s">
        <v>32</v>
      </c>
      <c r="N221" s="4">
        <v>36</v>
      </c>
      <c r="O221" s="1" t="s">
        <v>246</v>
      </c>
      <c r="P221" s="1" t="s">
        <v>447</v>
      </c>
      <c r="Q221" s="1" t="s">
        <v>35</v>
      </c>
      <c r="R221" s="1" t="s">
        <v>36</v>
      </c>
      <c r="S221" s="5">
        <v>502320</v>
      </c>
      <c r="T221" s="1" t="s">
        <v>765</v>
      </c>
      <c r="U221" s="1" t="s">
        <v>38</v>
      </c>
      <c r="V221" s="3">
        <v>46218.572222222203</v>
      </c>
      <c r="W221" s="6">
        <f t="shared" si="6"/>
        <v>19</v>
      </c>
      <c r="X221" s="6" t="str">
        <f t="shared" si="7"/>
        <v>Sim</v>
      </c>
    </row>
    <row r="222" spans="1:24" ht="15" customHeight="1" x14ac:dyDescent="0.3">
      <c r="A222" s="1" t="s">
        <v>766</v>
      </c>
      <c r="B222" s="1" t="s">
        <v>25</v>
      </c>
      <c r="C222" s="1" t="s">
        <v>686</v>
      </c>
      <c r="D222" s="1" t="s">
        <v>5</v>
      </c>
      <c r="E222" s="3">
        <v>46196.577777777798</v>
      </c>
      <c r="F222" s="3">
        <v>46203.666666666701</v>
      </c>
      <c r="G222" s="3">
        <v>46203.666666666701</v>
      </c>
      <c r="H222" s="1" t="s">
        <v>42</v>
      </c>
      <c r="I222" s="1" t="s">
        <v>767</v>
      </c>
      <c r="J222" s="1" t="s">
        <v>118</v>
      </c>
      <c r="K222" s="1" t="s">
        <v>30</v>
      </c>
      <c r="L222" s="1" t="s">
        <v>31</v>
      </c>
      <c r="M222" s="1" t="s">
        <v>32</v>
      </c>
      <c r="N222" s="4">
        <v>36</v>
      </c>
      <c r="O222" s="1" t="s">
        <v>246</v>
      </c>
      <c r="P222" s="1" t="s">
        <v>447</v>
      </c>
      <c r="Q222" s="1" t="s">
        <v>35</v>
      </c>
      <c r="R222" s="1" t="s">
        <v>36</v>
      </c>
      <c r="S222" s="5">
        <v>4200</v>
      </c>
      <c r="T222" s="1" t="s">
        <v>69</v>
      </c>
      <c r="U222" s="1" t="s">
        <v>38</v>
      </c>
      <c r="V222" s="3">
        <v>46196.626388888901</v>
      </c>
      <c r="W222" s="6">
        <f t="shared" si="6"/>
        <v>19</v>
      </c>
      <c r="X222" s="6" t="str">
        <f t="shared" si="7"/>
        <v>Sim</v>
      </c>
    </row>
    <row r="223" spans="1:24" ht="15" customHeight="1" x14ac:dyDescent="0.3">
      <c r="A223" s="1" t="s">
        <v>768</v>
      </c>
      <c r="B223" s="1" t="s">
        <v>25</v>
      </c>
      <c r="C223" s="1" t="s">
        <v>686</v>
      </c>
      <c r="D223" s="1" t="s">
        <v>5</v>
      </c>
      <c r="E223" s="3">
        <v>46188.380555555603</v>
      </c>
      <c r="F223" s="3">
        <v>46195.5</v>
      </c>
      <c r="G223" s="3">
        <v>46195.5</v>
      </c>
      <c r="H223" s="1" t="s">
        <v>42</v>
      </c>
      <c r="I223" s="1" t="s">
        <v>769</v>
      </c>
      <c r="J223" s="1" t="s">
        <v>118</v>
      </c>
      <c r="K223" s="1" t="s">
        <v>30</v>
      </c>
      <c r="L223" s="1" t="s">
        <v>31</v>
      </c>
      <c r="M223" s="1" t="s">
        <v>32</v>
      </c>
      <c r="N223" s="4">
        <v>36</v>
      </c>
      <c r="O223" s="1" t="s">
        <v>46</v>
      </c>
      <c r="P223" s="1" t="s">
        <v>447</v>
      </c>
      <c r="Q223" s="1" t="s">
        <v>35</v>
      </c>
      <c r="R223" s="1" t="s">
        <v>36</v>
      </c>
      <c r="S223" s="5">
        <v>6720</v>
      </c>
      <c r="T223" s="1" t="s">
        <v>69</v>
      </c>
      <c r="U223" s="1" t="s">
        <v>38</v>
      </c>
      <c r="V223" s="3">
        <v>46188.458333333299</v>
      </c>
      <c r="W223" s="6">
        <f t="shared" si="6"/>
        <v>19</v>
      </c>
      <c r="X223" s="6" t="str">
        <f t="shared" si="7"/>
        <v>Sim</v>
      </c>
    </row>
    <row r="224" spans="1:24" ht="15" customHeight="1" x14ac:dyDescent="0.3">
      <c r="A224" s="1" t="s">
        <v>770</v>
      </c>
      <c r="B224" s="1" t="s">
        <v>25</v>
      </c>
      <c r="C224" s="1" t="s">
        <v>686</v>
      </c>
      <c r="D224" s="1" t="s">
        <v>5</v>
      </c>
      <c r="E224" s="3">
        <v>46190.423611111102</v>
      </c>
      <c r="F224" s="3">
        <v>46197.625694444498</v>
      </c>
      <c r="G224" s="3">
        <v>46197.625694444498</v>
      </c>
      <c r="H224" s="1" t="s">
        <v>42</v>
      </c>
      <c r="I224" s="1" t="s">
        <v>771</v>
      </c>
      <c r="J224" s="1" t="s">
        <v>118</v>
      </c>
      <c r="K224" s="1" t="s">
        <v>30</v>
      </c>
      <c r="L224" s="1" t="s">
        <v>31</v>
      </c>
      <c r="M224" s="1" t="s">
        <v>32</v>
      </c>
      <c r="N224" s="4">
        <v>36</v>
      </c>
      <c r="O224" s="1" t="s">
        <v>46</v>
      </c>
      <c r="P224" s="1" t="s">
        <v>447</v>
      </c>
      <c r="Q224" s="1" t="s">
        <v>35</v>
      </c>
      <c r="R224" s="1" t="s">
        <v>36</v>
      </c>
      <c r="S224" s="5">
        <v>15060</v>
      </c>
      <c r="T224" s="1" t="s">
        <v>69</v>
      </c>
      <c r="U224" s="1" t="s">
        <v>38</v>
      </c>
      <c r="V224" s="3">
        <v>46190.597916666702</v>
      </c>
      <c r="W224" s="6">
        <f t="shared" si="6"/>
        <v>19</v>
      </c>
      <c r="X224" s="6" t="str">
        <f t="shared" si="7"/>
        <v>Sim</v>
      </c>
    </row>
    <row r="225" spans="1:24" ht="15" customHeight="1" x14ac:dyDescent="0.3">
      <c r="A225" s="1" t="s">
        <v>744</v>
      </c>
      <c r="B225" s="1" t="s">
        <v>25</v>
      </c>
      <c r="C225" s="1" t="s">
        <v>686</v>
      </c>
      <c r="D225" s="1" t="s">
        <v>5</v>
      </c>
      <c r="E225" s="3">
        <v>46182.624305555597</v>
      </c>
      <c r="F225" s="3">
        <v>46190.500694444498</v>
      </c>
      <c r="G225" s="3">
        <v>46190.500694444498</v>
      </c>
      <c r="H225" s="1" t="s">
        <v>42</v>
      </c>
      <c r="I225" s="1" t="s">
        <v>772</v>
      </c>
      <c r="J225" s="1" t="s">
        <v>118</v>
      </c>
      <c r="K225" s="1" t="s">
        <v>30</v>
      </c>
      <c r="L225" s="1" t="s">
        <v>31</v>
      </c>
      <c r="M225" s="1" t="s">
        <v>32</v>
      </c>
      <c r="N225" s="4">
        <v>36</v>
      </c>
      <c r="O225" s="1" t="s">
        <v>46</v>
      </c>
      <c r="P225" s="1" t="s">
        <v>447</v>
      </c>
      <c r="Q225" s="1" t="s">
        <v>68</v>
      </c>
      <c r="R225" s="1" t="s">
        <v>36</v>
      </c>
      <c r="S225" s="5">
        <v>74520</v>
      </c>
      <c r="T225" s="1" t="s">
        <v>69</v>
      </c>
      <c r="U225" s="1" t="s">
        <v>38</v>
      </c>
      <c r="V225" s="3">
        <v>46183.4868055556</v>
      </c>
      <c r="W225" s="6">
        <f t="shared" si="6"/>
        <v>19</v>
      </c>
      <c r="X225" s="6" t="str">
        <f t="shared" si="7"/>
        <v>Sim</v>
      </c>
    </row>
    <row r="226" spans="1:24" ht="15" customHeight="1" x14ac:dyDescent="0.3">
      <c r="A226" s="1" t="s">
        <v>773</v>
      </c>
      <c r="B226" s="1" t="s">
        <v>25</v>
      </c>
      <c r="C226" s="1" t="s">
        <v>686</v>
      </c>
      <c r="D226" s="1" t="s">
        <v>5</v>
      </c>
      <c r="E226" s="3">
        <v>46218.397916666698</v>
      </c>
      <c r="F226" s="3">
        <v>46227.791666666701</v>
      </c>
      <c r="G226" s="3">
        <v>46227.791666666701</v>
      </c>
      <c r="H226" s="1" t="s">
        <v>42</v>
      </c>
      <c r="I226" s="1" t="s">
        <v>774</v>
      </c>
      <c r="J226" s="1" t="s">
        <v>118</v>
      </c>
      <c r="K226" s="1" t="s">
        <v>51</v>
      </c>
      <c r="L226" s="1" t="s">
        <v>31</v>
      </c>
      <c r="M226" s="1" t="s">
        <v>32</v>
      </c>
      <c r="N226" s="4">
        <v>36</v>
      </c>
      <c r="O226" s="1" t="s">
        <v>46</v>
      </c>
      <c r="P226" s="1" t="s">
        <v>447</v>
      </c>
      <c r="Q226" s="1" t="s">
        <v>35</v>
      </c>
      <c r="R226" s="1" t="s">
        <v>36</v>
      </c>
      <c r="S226" s="5">
        <v>204420</v>
      </c>
      <c r="T226" s="1" t="s">
        <v>775</v>
      </c>
      <c r="U226" s="1" t="s">
        <v>38</v>
      </c>
      <c r="V226" s="3">
        <v>46220.763888888898</v>
      </c>
      <c r="W226" s="6">
        <f t="shared" si="6"/>
        <v>19</v>
      </c>
      <c r="X226" s="6" t="str">
        <f t="shared" si="7"/>
        <v>Sim</v>
      </c>
    </row>
    <row r="227" spans="1:24" ht="15" customHeight="1" x14ac:dyDescent="0.3">
      <c r="A227" s="1" t="s">
        <v>776</v>
      </c>
      <c r="B227" s="1" t="s">
        <v>25</v>
      </c>
      <c r="C227" s="1" t="s">
        <v>686</v>
      </c>
      <c r="D227" s="1" t="s">
        <v>5</v>
      </c>
      <c r="E227" s="3">
        <v>46186.327777777798</v>
      </c>
      <c r="F227" s="3">
        <v>46192.327777777798</v>
      </c>
      <c r="G227" s="3">
        <v>46192.327777777798</v>
      </c>
      <c r="H227" s="1" t="s">
        <v>42</v>
      </c>
      <c r="I227" s="1" t="s">
        <v>777</v>
      </c>
      <c r="J227" s="1" t="s">
        <v>189</v>
      </c>
      <c r="K227" s="1" t="s">
        <v>30</v>
      </c>
      <c r="L227" s="1" t="s">
        <v>31</v>
      </c>
      <c r="M227" s="1" t="s">
        <v>32</v>
      </c>
      <c r="N227" s="4">
        <v>36</v>
      </c>
      <c r="O227" s="1" t="s">
        <v>46</v>
      </c>
      <c r="P227" s="1" t="s">
        <v>447</v>
      </c>
      <c r="Q227" s="1" t="s">
        <v>35</v>
      </c>
      <c r="R227" s="1" t="s">
        <v>36</v>
      </c>
      <c r="S227" s="5">
        <v>433140</v>
      </c>
      <c r="T227" s="1" t="s">
        <v>778</v>
      </c>
      <c r="U227" s="1" t="s">
        <v>38</v>
      </c>
      <c r="V227" s="3">
        <v>46191.340972222199</v>
      </c>
      <c r="W227" s="6">
        <f t="shared" si="6"/>
        <v>6</v>
      </c>
      <c r="X227" s="6" t="str">
        <f t="shared" si="7"/>
        <v>Sim</v>
      </c>
    </row>
    <row r="228" spans="1:24" ht="15" customHeight="1" x14ac:dyDescent="0.3">
      <c r="A228" s="1" t="s">
        <v>779</v>
      </c>
      <c r="B228" s="1" t="s">
        <v>25</v>
      </c>
      <c r="C228" s="1" t="s">
        <v>686</v>
      </c>
      <c r="D228" s="1" t="s">
        <v>5</v>
      </c>
      <c r="E228" s="3">
        <v>46176.467361111099</v>
      </c>
      <c r="F228" s="3">
        <v>46188.666666666701</v>
      </c>
      <c r="G228" s="3">
        <v>46188.666666666701</v>
      </c>
      <c r="H228" s="1" t="s">
        <v>42</v>
      </c>
      <c r="I228" s="1" t="s">
        <v>780</v>
      </c>
      <c r="J228" s="1" t="s">
        <v>446</v>
      </c>
      <c r="K228" s="1" t="s">
        <v>51</v>
      </c>
      <c r="L228" s="1" t="s">
        <v>31</v>
      </c>
      <c r="M228" s="1" t="s">
        <v>32</v>
      </c>
      <c r="N228" s="4">
        <v>36</v>
      </c>
      <c r="O228" s="1" t="s">
        <v>46</v>
      </c>
      <c r="P228" s="1" t="s">
        <v>447</v>
      </c>
      <c r="Q228" s="1" t="s">
        <v>68</v>
      </c>
      <c r="R228" s="1" t="s">
        <v>36</v>
      </c>
      <c r="S228" s="5">
        <v>447420</v>
      </c>
      <c r="T228" s="1" t="s">
        <v>781</v>
      </c>
      <c r="U228" s="1" t="s">
        <v>38</v>
      </c>
      <c r="V228" s="3">
        <v>46181.645833333299</v>
      </c>
      <c r="W228" s="6">
        <f t="shared" si="6"/>
        <v>1</v>
      </c>
      <c r="X228" s="6" t="str">
        <f t="shared" si="7"/>
        <v>Não</v>
      </c>
    </row>
    <row r="229" spans="1:24" ht="15" customHeight="1" x14ac:dyDescent="0.3">
      <c r="A229" s="1" t="s">
        <v>782</v>
      </c>
      <c r="B229" s="1" t="s">
        <v>25</v>
      </c>
      <c r="C229" s="1" t="s">
        <v>686</v>
      </c>
      <c r="D229" s="1" t="s">
        <v>5</v>
      </c>
      <c r="E229" s="3">
        <v>46193.690277777801</v>
      </c>
      <c r="F229" s="3">
        <v>46196.485416666699</v>
      </c>
      <c r="G229" s="3">
        <v>46196.485416666699</v>
      </c>
      <c r="H229" s="1" t="s">
        <v>42</v>
      </c>
      <c r="I229" s="1" t="s">
        <v>783</v>
      </c>
      <c r="J229" s="1" t="s">
        <v>299</v>
      </c>
      <c r="K229" s="1" t="s">
        <v>30</v>
      </c>
      <c r="L229" s="1" t="s">
        <v>31</v>
      </c>
      <c r="M229" s="1" t="s">
        <v>32</v>
      </c>
      <c r="N229" s="4">
        <v>36</v>
      </c>
      <c r="O229" s="1" t="s">
        <v>46</v>
      </c>
      <c r="P229" s="1" t="s">
        <v>300</v>
      </c>
      <c r="Q229" s="1" t="s">
        <v>35</v>
      </c>
      <c r="R229" s="1" t="s">
        <v>36</v>
      </c>
      <c r="S229" s="5">
        <v>186060</v>
      </c>
      <c r="T229" s="1" t="s">
        <v>784</v>
      </c>
      <c r="U229" s="1" t="s">
        <v>38</v>
      </c>
      <c r="V229" s="3">
        <v>46195.84375</v>
      </c>
      <c r="W229" s="6">
        <f t="shared" si="6"/>
        <v>1</v>
      </c>
      <c r="X229" s="6" t="str">
        <f t="shared" si="7"/>
        <v>Não</v>
      </c>
    </row>
    <row r="230" spans="1:24" ht="15" customHeight="1" x14ac:dyDescent="0.3">
      <c r="A230" s="1" t="s">
        <v>785</v>
      </c>
      <c r="B230" s="1" t="s">
        <v>25</v>
      </c>
      <c r="C230" s="1" t="s">
        <v>686</v>
      </c>
      <c r="D230" s="1" t="s">
        <v>5</v>
      </c>
      <c r="E230" s="3">
        <v>46186.434722222199</v>
      </c>
      <c r="F230" s="3">
        <v>46197.667361111096</v>
      </c>
      <c r="G230" s="3">
        <v>46197.667361111096</v>
      </c>
      <c r="H230" s="1" t="s">
        <v>42</v>
      </c>
      <c r="I230" s="1" t="s">
        <v>786</v>
      </c>
      <c r="J230" s="1" t="s">
        <v>787</v>
      </c>
      <c r="K230" s="1" t="s">
        <v>30</v>
      </c>
      <c r="L230" s="1" t="s">
        <v>31</v>
      </c>
      <c r="M230" s="1" t="s">
        <v>32</v>
      </c>
      <c r="N230" s="4">
        <v>36</v>
      </c>
      <c r="O230" s="1" t="s">
        <v>46</v>
      </c>
      <c r="P230" s="1" t="s">
        <v>447</v>
      </c>
      <c r="Q230" s="1" t="s">
        <v>35</v>
      </c>
      <c r="R230" s="1" t="s">
        <v>36</v>
      </c>
      <c r="S230" s="5">
        <v>362160</v>
      </c>
      <c r="T230" s="1" t="s">
        <v>788</v>
      </c>
      <c r="U230" s="1" t="s">
        <v>38</v>
      </c>
      <c r="V230" s="3">
        <v>46190.626388888901</v>
      </c>
      <c r="W230" s="6">
        <f t="shared" si="6"/>
        <v>2</v>
      </c>
      <c r="X230" s="6" t="str">
        <f t="shared" si="7"/>
        <v>Sim</v>
      </c>
    </row>
    <row r="231" spans="1:24" ht="15" customHeight="1" x14ac:dyDescent="0.3">
      <c r="A231" s="1" t="s">
        <v>460</v>
      </c>
      <c r="B231" s="1" t="s">
        <v>25</v>
      </c>
      <c r="C231" s="1" t="s">
        <v>686</v>
      </c>
      <c r="D231" s="1" t="s">
        <v>5</v>
      </c>
      <c r="E231" s="3">
        <v>46185.411111111098</v>
      </c>
      <c r="F231" s="3">
        <v>46192.625694444498</v>
      </c>
      <c r="G231" s="3">
        <v>46192.625694444498</v>
      </c>
      <c r="H231" s="1" t="s">
        <v>42</v>
      </c>
      <c r="I231" s="1" t="s">
        <v>789</v>
      </c>
      <c r="J231" s="1" t="s">
        <v>787</v>
      </c>
      <c r="K231" s="1" t="s">
        <v>30</v>
      </c>
      <c r="L231" s="1" t="s">
        <v>31</v>
      </c>
      <c r="M231" s="1" t="s">
        <v>32</v>
      </c>
      <c r="N231" s="4">
        <v>36</v>
      </c>
      <c r="O231" s="1" t="s">
        <v>46</v>
      </c>
      <c r="P231" s="1" t="s">
        <v>447</v>
      </c>
      <c r="Q231" s="1" t="s">
        <v>35</v>
      </c>
      <c r="R231" s="1" t="s">
        <v>36</v>
      </c>
      <c r="S231" s="5">
        <v>16320</v>
      </c>
      <c r="T231" s="1" t="s">
        <v>790</v>
      </c>
      <c r="U231" s="1" t="s">
        <v>38</v>
      </c>
      <c r="V231" s="3">
        <v>46185.599999999999</v>
      </c>
      <c r="W231" s="6">
        <f t="shared" si="6"/>
        <v>2</v>
      </c>
      <c r="X231" s="6" t="str">
        <f t="shared" si="7"/>
        <v>Sim</v>
      </c>
    </row>
    <row r="232" spans="1:24" ht="15" customHeight="1" x14ac:dyDescent="0.3">
      <c r="A232" s="1" t="s">
        <v>791</v>
      </c>
      <c r="B232" s="1" t="s">
        <v>25</v>
      </c>
      <c r="C232" s="1" t="s">
        <v>686</v>
      </c>
      <c r="D232" s="1" t="s">
        <v>5</v>
      </c>
      <c r="E232" s="3">
        <v>46185.440972222197</v>
      </c>
      <c r="F232" s="3">
        <v>46197.500694444498</v>
      </c>
      <c r="G232" s="3">
        <v>46197.500694444498</v>
      </c>
      <c r="H232" s="1" t="s">
        <v>42</v>
      </c>
      <c r="I232" s="1" t="s">
        <v>792</v>
      </c>
      <c r="J232" s="1" t="s">
        <v>118</v>
      </c>
      <c r="K232" s="1" t="s">
        <v>30</v>
      </c>
      <c r="L232" s="1" t="s">
        <v>31</v>
      </c>
      <c r="M232" s="1" t="s">
        <v>32</v>
      </c>
      <c r="N232" s="4">
        <v>36</v>
      </c>
      <c r="O232" s="1" t="s">
        <v>46</v>
      </c>
      <c r="P232" s="1" t="s">
        <v>447</v>
      </c>
      <c r="Q232" s="1" t="s">
        <v>68</v>
      </c>
      <c r="R232" s="1" t="s">
        <v>36</v>
      </c>
      <c r="S232" s="5">
        <v>435300</v>
      </c>
      <c r="T232" s="1" t="s">
        <v>793</v>
      </c>
      <c r="U232" s="1" t="s">
        <v>38</v>
      </c>
      <c r="V232" s="3">
        <v>46190.479166666701</v>
      </c>
      <c r="W232" s="6">
        <f t="shared" si="6"/>
        <v>19</v>
      </c>
      <c r="X232" s="6" t="str">
        <f t="shared" si="7"/>
        <v>Sim</v>
      </c>
    </row>
    <row r="233" spans="1:24" ht="15" customHeight="1" x14ac:dyDescent="0.3">
      <c r="A233" s="1" t="s">
        <v>794</v>
      </c>
      <c r="B233" s="1" t="s">
        <v>25</v>
      </c>
      <c r="C233" s="1" t="s">
        <v>686</v>
      </c>
      <c r="D233" s="1" t="s">
        <v>5</v>
      </c>
      <c r="E233" s="3">
        <v>46192.522916666698</v>
      </c>
      <c r="F233" s="3">
        <v>46199.465277777803</v>
      </c>
      <c r="G233" s="3">
        <v>46199.465277777803</v>
      </c>
      <c r="H233" s="1" t="s">
        <v>42</v>
      </c>
      <c r="I233" s="1" t="s">
        <v>795</v>
      </c>
      <c r="J233" s="1" t="s">
        <v>796</v>
      </c>
      <c r="K233" s="1" t="s">
        <v>30</v>
      </c>
      <c r="L233" s="1" t="s">
        <v>31</v>
      </c>
      <c r="M233" s="1" t="s">
        <v>32</v>
      </c>
      <c r="N233" s="4">
        <v>36</v>
      </c>
      <c r="O233" s="1" t="s">
        <v>46</v>
      </c>
      <c r="P233" s="1" t="s">
        <v>797</v>
      </c>
      <c r="Q233" s="1" t="s">
        <v>35</v>
      </c>
      <c r="R233" s="1" t="s">
        <v>36</v>
      </c>
      <c r="S233" s="5">
        <v>445500</v>
      </c>
      <c r="T233" s="1" t="s">
        <v>798</v>
      </c>
      <c r="U233" s="1" t="s">
        <v>120</v>
      </c>
      <c r="V233" s="3">
        <v>46197.679166666698</v>
      </c>
      <c r="W233" s="6">
        <f t="shared" si="6"/>
        <v>2</v>
      </c>
      <c r="X233" s="6" t="str">
        <f t="shared" si="7"/>
        <v>Sim</v>
      </c>
    </row>
    <row r="234" spans="1:24" ht="15" customHeight="1" x14ac:dyDescent="0.3">
      <c r="A234" s="1" t="s">
        <v>799</v>
      </c>
      <c r="B234" s="1" t="s">
        <v>25</v>
      </c>
      <c r="C234" s="1" t="s">
        <v>686</v>
      </c>
      <c r="D234" s="1" t="s">
        <v>5</v>
      </c>
      <c r="E234" s="3">
        <v>46198.400694444397</v>
      </c>
      <c r="F234" s="3">
        <v>46199.692361111098</v>
      </c>
      <c r="G234" s="3">
        <v>46199.692361111098</v>
      </c>
      <c r="H234" s="1" t="s">
        <v>42</v>
      </c>
      <c r="I234" s="1" t="s">
        <v>800</v>
      </c>
      <c r="J234" s="1" t="s">
        <v>690</v>
      </c>
      <c r="K234" s="1" t="s">
        <v>30</v>
      </c>
      <c r="L234" s="1" t="s">
        <v>31</v>
      </c>
      <c r="M234" s="1" t="s">
        <v>32</v>
      </c>
      <c r="N234" s="4">
        <v>36</v>
      </c>
      <c r="O234" s="1" t="s">
        <v>46</v>
      </c>
      <c r="P234" s="1" t="s">
        <v>447</v>
      </c>
      <c r="Q234" s="1" t="s">
        <v>68</v>
      </c>
      <c r="R234" s="1" t="s">
        <v>36</v>
      </c>
      <c r="S234" s="5">
        <v>86460</v>
      </c>
      <c r="T234" s="1" t="s">
        <v>69</v>
      </c>
      <c r="U234" s="1" t="s">
        <v>38</v>
      </c>
      <c r="V234" s="3">
        <v>46199.401388888902</v>
      </c>
      <c r="W234" s="6">
        <f t="shared" si="6"/>
        <v>8</v>
      </c>
      <c r="X234" s="6" t="str">
        <f t="shared" si="7"/>
        <v>Sim</v>
      </c>
    </row>
    <row r="235" spans="1:24" ht="15" customHeight="1" x14ac:dyDescent="0.3">
      <c r="A235" s="1" t="s">
        <v>460</v>
      </c>
      <c r="B235" s="1" t="s">
        <v>25</v>
      </c>
      <c r="C235" s="1" t="s">
        <v>686</v>
      </c>
      <c r="D235" s="1" t="s">
        <v>5</v>
      </c>
      <c r="E235" s="3">
        <v>46185.409027777801</v>
      </c>
      <c r="F235" s="3">
        <v>46199.75</v>
      </c>
      <c r="G235" s="3">
        <v>46199.75</v>
      </c>
      <c r="H235" s="1" t="s">
        <v>42</v>
      </c>
      <c r="I235" s="1" t="s">
        <v>801</v>
      </c>
      <c r="J235" s="1" t="s">
        <v>164</v>
      </c>
      <c r="K235" s="1" t="s">
        <v>51</v>
      </c>
      <c r="L235" s="1" t="s">
        <v>31</v>
      </c>
      <c r="M235" s="1" t="s">
        <v>32</v>
      </c>
      <c r="N235" s="4">
        <v>36</v>
      </c>
      <c r="O235" s="1" t="s">
        <v>46</v>
      </c>
      <c r="P235" s="1" t="s">
        <v>47</v>
      </c>
      <c r="Q235" s="1" t="s">
        <v>35</v>
      </c>
      <c r="R235" s="1" t="s">
        <v>36</v>
      </c>
      <c r="S235" s="5">
        <v>632880</v>
      </c>
      <c r="T235" s="1" t="s">
        <v>802</v>
      </c>
      <c r="U235" s="1" t="s">
        <v>38</v>
      </c>
      <c r="V235" s="3">
        <v>46192.734027777798</v>
      </c>
      <c r="W235" s="6">
        <f t="shared" si="6"/>
        <v>2</v>
      </c>
      <c r="X235" s="6" t="str">
        <f t="shared" si="7"/>
        <v>Sim</v>
      </c>
    </row>
    <row r="236" spans="1:24" ht="15" customHeight="1" x14ac:dyDescent="0.3">
      <c r="A236" s="1" t="s">
        <v>803</v>
      </c>
      <c r="B236" s="1" t="s">
        <v>25</v>
      </c>
      <c r="C236" s="1" t="s">
        <v>686</v>
      </c>
      <c r="D236" s="1" t="s">
        <v>5</v>
      </c>
      <c r="E236" s="3">
        <v>46200.680555555598</v>
      </c>
      <c r="F236" s="3">
        <v>46210.625694444498</v>
      </c>
      <c r="G236" s="3">
        <v>46210.625694444498</v>
      </c>
      <c r="H236" s="1" t="s">
        <v>42</v>
      </c>
      <c r="I236" s="1" t="s">
        <v>804</v>
      </c>
      <c r="J236" s="1" t="s">
        <v>214</v>
      </c>
      <c r="K236" s="1" t="s">
        <v>51</v>
      </c>
      <c r="L236" s="1" t="s">
        <v>31</v>
      </c>
      <c r="M236" s="1" t="s">
        <v>32</v>
      </c>
      <c r="N236" s="4">
        <v>36</v>
      </c>
      <c r="O236" s="1" t="s">
        <v>805</v>
      </c>
      <c r="P236" s="1" t="s">
        <v>806</v>
      </c>
      <c r="Q236" s="1" t="s">
        <v>35</v>
      </c>
      <c r="R236" s="1" t="s">
        <v>36</v>
      </c>
      <c r="S236" s="5">
        <v>251880</v>
      </c>
      <c r="T236" s="1" t="s">
        <v>69</v>
      </c>
      <c r="U236" s="1" t="s">
        <v>120</v>
      </c>
      <c r="V236" s="3">
        <v>46203.595833333296</v>
      </c>
      <c r="W236" s="6">
        <f t="shared" si="6"/>
        <v>1</v>
      </c>
      <c r="X236" s="6" t="str">
        <f t="shared" si="7"/>
        <v>Não</v>
      </c>
    </row>
    <row r="237" spans="1:24" ht="15" customHeight="1" x14ac:dyDescent="0.3">
      <c r="A237" s="1" t="s">
        <v>807</v>
      </c>
      <c r="B237" s="1" t="s">
        <v>25</v>
      </c>
      <c r="C237" s="1" t="s">
        <v>686</v>
      </c>
      <c r="D237" s="1" t="s">
        <v>5</v>
      </c>
      <c r="E237" s="3">
        <v>46213.462500000001</v>
      </c>
      <c r="F237" s="3">
        <v>46223.460416666698</v>
      </c>
      <c r="G237" s="3">
        <v>46223.460416666698</v>
      </c>
      <c r="H237" s="1" t="s">
        <v>42</v>
      </c>
      <c r="I237" s="1" t="s">
        <v>808</v>
      </c>
      <c r="J237" s="1" t="s">
        <v>118</v>
      </c>
      <c r="K237" s="1" t="s">
        <v>30</v>
      </c>
      <c r="L237" s="1" t="s">
        <v>31</v>
      </c>
      <c r="M237" s="1" t="s">
        <v>32</v>
      </c>
      <c r="N237" s="4">
        <v>36</v>
      </c>
      <c r="O237" s="1" t="s">
        <v>46</v>
      </c>
      <c r="P237" s="1" t="s">
        <v>447</v>
      </c>
      <c r="Q237" s="1" t="s">
        <v>35</v>
      </c>
      <c r="R237" s="1" t="s">
        <v>36</v>
      </c>
      <c r="S237" s="5">
        <v>256020</v>
      </c>
      <c r="T237" s="1" t="s">
        <v>69</v>
      </c>
      <c r="U237" s="1" t="s">
        <v>38</v>
      </c>
      <c r="V237" s="3">
        <v>46216.425694444399</v>
      </c>
      <c r="W237" s="6">
        <f t="shared" si="6"/>
        <v>19</v>
      </c>
      <c r="X237" s="6" t="str">
        <f t="shared" si="7"/>
        <v>Sim</v>
      </c>
    </row>
    <row r="238" spans="1:24" ht="15" customHeight="1" x14ac:dyDescent="0.3">
      <c r="A238" s="1" t="s">
        <v>809</v>
      </c>
      <c r="B238" s="1" t="s">
        <v>25</v>
      </c>
      <c r="C238" s="1" t="s">
        <v>686</v>
      </c>
      <c r="D238" s="1" t="s">
        <v>5</v>
      </c>
      <c r="E238" s="3">
        <v>46197.454861111102</v>
      </c>
      <c r="F238" s="3">
        <v>46205.625</v>
      </c>
      <c r="G238" s="3">
        <v>46205.625</v>
      </c>
      <c r="H238" s="1" t="s">
        <v>42</v>
      </c>
      <c r="I238" s="1" t="s">
        <v>810</v>
      </c>
      <c r="J238" s="1" t="s">
        <v>118</v>
      </c>
      <c r="K238" s="1" t="s">
        <v>30</v>
      </c>
      <c r="L238" s="1" t="s">
        <v>31</v>
      </c>
      <c r="M238" s="1" t="s">
        <v>32</v>
      </c>
      <c r="N238" s="4">
        <v>36</v>
      </c>
      <c r="O238" s="1" t="s">
        <v>46</v>
      </c>
      <c r="P238" s="1" t="s">
        <v>447</v>
      </c>
      <c r="Q238" s="1" t="s">
        <v>68</v>
      </c>
      <c r="R238" s="1" t="s">
        <v>36</v>
      </c>
      <c r="S238" s="5">
        <v>98220</v>
      </c>
      <c r="T238" s="1" t="s">
        <v>69</v>
      </c>
      <c r="U238" s="1" t="s">
        <v>38</v>
      </c>
      <c r="V238" s="3">
        <v>46198.591666666704</v>
      </c>
      <c r="W238" s="6">
        <f t="shared" si="6"/>
        <v>19</v>
      </c>
      <c r="X238" s="6" t="str">
        <f t="shared" si="7"/>
        <v>Sim</v>
      </c>
    </row>
    <row r="239" spans="1:24" ht="15" customHeight="1" x14ac:dyDescent="0.3">
      <c r="A239" s="1" t="s">
        <v>811</v>
      </c>
      <c r="B239" s="1" t="s">
        <v>25</v>
      </c>
      <c r="C239" s="1" t="s">
        <v>686</v>
      </c>
      <c r="D239" s="1" t="s">
        <v>5</v>
      </c>
      <c r="E239" s="3">
        <v>46260.670833333301</v>
      </c>
      <c r="F239" s="3">
        <v>46267.344444444498</v>
      </c>
      <c r="G239" s="3">
        <v>46267.344444444498</v>
      </c>
      <c r="H239" s="1" t="s">
        <v>42</v>
      </c>
      <c r="I239" s="1" t="s">
        <v>812</v>
      </c>
      <c r="J239" s="1" t="s">
        <v>748</v>
      </c>
      <c r="K239" s="1" t="s">
        <v>30</v>
      </c>
      <c r="L239" s="1" t="s">
        <v>31</v>
      </c>
      <c r="M239" s="1" t="s">
        <v>32</v>
      </c>
      <c r="N239" s="4">
        <v>36</v>
      </c>
      <c r="O239" s="1" t="s">
        <v>46</v>
      </c>
      <c r="P239" s="1" t="s">
        <v>447</v>
      </c>
      <c r="Q239" s="1" t="s">
        <v>68</v>
      </c>
      <c r="R239" s="1" t="s">
        <v>36</v>
      </c>
      <c r="S239" s="5">
        <v>171420</v>
      </c>
      <c r="T239" s="1" t="s">
        <v>434</v>
      </c>
      <c r="U239" s="1" t="s">
        <v>38</v>
      </c>
      <c r="V239" s="3">
        <v>46262.654861111099</v>
      </c>
      <c r="W239" s="6">
        <f t="shared" si="6"/>
        <v>3</v>
      </c>
      <c r="X239" s="6" t="str">
        <f t="shared" si="7"/>
        <v>Sim</v>
      </c>
    </row>
    <row r="240" spans="1:24" ht="15" customHeight="1" x14ac:dyDescent="0.3">
      <c r="A240" s="1" t="s">
        <v>444</v>
      </c>
      <c r="B240" s="1" t="s">
        <v>25</v>
      </c>
      <c r="C240" s="1" t="s">
        <v>686</v>
      </c>
      <c r="D240" s="1" t="s">
        <v>5</v>
      </c>
      <c r="E240" s="3">
        <v>46258.418055555601</v>
      </c>
      <c r="F240" s="3">
        <v>46265.583333333299</v>
      </c>
      <c r="G240" s="3">
        <v>46265.583333333299</v>
      </c>
      <c r="H240" s="1" t="s">
        <v>42</v>
      </c>
      <c r="I240" s="1" t="s">
        <v>813</v>
      </c>
      <c r="J240" s="1" t="s">
        <v>814</v>
      </c>
      <c r="K240" s="1" t="s">
        <v>30</v>
      </c>
      <c r="L240" s="1" t="s">
        <v>31</v>
      </c>
      <c r="M240" s="1" t="s">
        <v>32</v>
      </c>
      <c r="N240" s="4">
        <v>36</v>
      </c>
      <c r="O240" s="1" t="s">
        <v>46</v>
      </c>
      <c r="P240" s="1" t="s">
        <v>447</v>
      </c>
      <c r="Q240" s="1" t="s">
        <v>35</v>
      </c>
      <c r="R240" s="1" t="s">
        <v>36</v>
      </c>
      <c r="S240" s="5">
        <v>12840</v>
      </c>
      <c r="T240" s="1" t="s">
        <v>815</v>
      </c>
      <c r="U240" s="1" t="s">
        <v>38</v>
      </c>
      <c r="V240" s="3">
        <v>46258.566666666702</v>
      </c>
      <c r="W240" s="6">
        <f t="shared" si="6"/>
        <v>2</v>
      </c>
      <c r="X240" s="6" t="str">
        <f t="shared" si="7"/>
        <v>Sim</v>
      </c>
    </row>
    <row r="241" spans="1:24" ht="15" customHeight="1" x14ac:dyDescent="0.3">
      <c r="A241" s="1" t="s">
        <v>816</v>
      </c>
      <c r="B241" s="1" t="s">
        <v>25</v>
      </c>
      <c r="C241" s="1" t="s">
        <v>686</v>
      </c>
      <c r="D241" s="1" t="s">
        <v>5</v>
      </c>
      <c r="E241" s="3">
        <v>46258.432638888902</v>
      </c>
      <c r="F241" s="3">
        <v>46265.583333333299</v>
      </c>
      <c r="G241" s="3">
        <v>46265.583333333299</v>
      </c>
      <c r="H241" s="1" t="s">
        <v>42</v>
      </c>
      <c r="I241" s="1" t="s">
        <v>817</v>
      </c>
      <c r="J241" s="1" t="s">
        <v>183</v>
      </c>
      <c r="K241" s="1" t="s">
        <v>30</v>
      </c>
      <c r="L241" s="1" t="s">
        <v>31</v>
      </c>
      <c r="M241" s="1" t="s">
        <v>32</v>
      </c>
      <c r="N241" s="4">
        <v>36</v>
      </c>
      <c r="O241" s="1" t="s">
        <v>46</v>
      </c>
      <c r="P241" s="1" t="s">
        <v>47</v>
      </c>
      <c r="Q241" s="1" t="s">
        <v>35</v>
      </c>
      <c r="R241" s="1" t="s">
        <v>36</v>
      </c>
      <c r="S241" s="5">
        <v>11700</v>
      </c>
      <c r="T241" s="1" t="s">
        <v>818</v>
      </c>
      <c r="U241" s="1" t="s">
        <v>38</v>
      </c>
      <c r="V241" s="3">
        <v>46258.568055555603</v>
      </c>
      <c r="W241" s="6">
        <f t="shared" si="6"/>
        <v>1</v>
      </c>
      <c r="X241" s="6" t="str">
        <f t="shared" si="7"/>
        <v>Não</v>
      </c>
    </row>
    <row r="242" spans="1:24" ht="15" customHeight="1" x14ac:dyDescent="0.3">
      <c r="A242" s="1" t="s">
        <v>819</v>
      </c>
      <c r="B242" s="1" t="s">
        <v>25</v>
      </c>
      <c r="C242" s="1" t="s">
        <v>686</v>
      </c>
      <c r="D242" s="1" t="s">
        <v>5</v>
      </c>
      <c r="E242" s="3">
        <v>46230.474999999999</v>
      </c>
      <c r="F242" s="3">
        <v>46237.625</v>
      </c>
      <c r="G242" s="3">
        <v>46237.625</v>
      </c>
      <c r="H242" s="1" t="s">
        <v>42</v>
      </c>
      <c r="I242" s="1" t="s">
        <v>820</v>
      </c>
      <c r="J242" s="1" t="s">
        <v>748</v>
      </c>
      <c r="K242" s="1" t="s">
        <v>30</v>
      </c>
      <c r="L242" s="1" t="s">
        <v>31</v>
      </c>
      <c r="M242" s="1" t="s">
        <v>143</v>
      </c>
      <c r="N242" s="4">
        <v>36</v>
      </c>
      <c r="O242" s="1" t="s">
        <v>46</v>
      </c>
      <c r="P242" s="1" t="s">
        <v>447</v>
      </c>
      <c r="Q242" s="1" t="s">
        <v>68</v>
      </c>
      <c r="R242" s="1" t="s">
        <v>36</v>
      </c>
      <c r="S242" s="5">
        <v>10920</v>
      </c>
      <c r="T242" s="1" t="s">
        <v>821</v>
      </c>
      <c r="U242" s="1" t="s">
        <v>38</v>
      </c>
      <c r="V242" s="3">
        <v>46230.601388888899</v>
      </c>
      <c r="W242" s="6">
        <f t="shared" si="6"/>
        <v>3</v>
      </c>
      <c r="X242" s="6" t="str">
        <f t="shared" si="7"/>
        <v>Sim</v>
      </c>
    </row>
    <row r="243" spans="1:24" ht="15" customHeight="1" x14ac:dyDescent="0.3">
      <c r="A243" s="1" t="s">
        <v>763</v>
      </c>
      <c r="B243" s="1" t="s">
        <v>25</v>
      </c>
      <c r="C243" s="1" t="s">
        <v>686</v>
      </c>
      <c r="D243" s="1" t="s">
        <v>5</v>
      </c>
      <c r="E243" s="3">
        <v>46212.754166666702</v>
      </c>
      <c r="F243" s="3">
        <v>46232.416666666701</v>
      </c>
      <c r="G243" s="3">
        <v>46232.416666666701</v>
      </c>
      <c r="H243" s="1" t="s">
        <v>42</v>
      </c>
      <c r="I243" s="1" t="s">
        <v>822</v>
      </c>
      <c r="J243" s="1" t="s">
        <v>118</v>
      </c>
      <c r="K243" s="1" t="s">
        <v>30</v>
      </c>
      <c r="L243" s="1" t="s">
        <v>31</v>
      </c>
      <c r="M243" s="1" t="s">
        <v>32</v>
      </c>
      <c r="N243" s="4">
        <v>36</v>
      </c>
      <c r="O243" s="1" t="s">
        <v>246</v>
      </c>
      <c r="P243" s="1" t="s">
        <v>447</v>
      </c>
      <c r="Q243" s="1" t="s">
        <v>68</v>
      </c>
      <c r="R243" s="1" t="s">
        <v>36</v>
      </c>
      <c r="S243" s="5">
        <v>1091460</v>
      </c>
      <c r="T243" s="1" t="s">
        <v>434</v>
      </c>
      <c r="U243" s="1" t="s">
        <v>38</v>
      </c>
      <c r="V243" s="3">
        <v>46225.386805555601</v>
      </c>
      <c r="W243" s="6">
        <f t="shared" si="6"/>
        <v>19</v>
      </c>
      <c r="X243" s="6" t="str">
        <f t="shared" si="7"/>
        <v>Sim</v>
      </c>
    </row>
    <row r="244" spans="1:24" ht="15" customHeight="1" x14ac:dyDescent="0.3">
      <c r="A244" s="1" t="s">
        <v>823</v>
      </c>
      <c r="B244" s="1" t="s">
        <v>25</v>
      </c>
      <c r="C244" s="1" t="s">
        <v>686</v>
      </c>
      <c r="D244" s="1" t="s">
        <v>5</v>
      </c>
      <c r="E244" s="3">
        <v>46237.708333333299</v>
      </c>
      <c r="F244" s="3">
        <v>46247.584027777797</v>
      </c>
      <c r="G244" s="3">
        <v>46247.584027777797</v>
      </c>
      <c r="H244" s="1" t="s">
        <v>42</v>
      </c>
      <c r="I244" s="1" t="s">
        <v>824</v>
      </c>
      <c r="J244" s="1" t="s">
        <v>189</v>
      </c>
      <c r="K244" s="1" t="s">
        <v>30</v>
      </c>
      <c r="L244" s="1" t="s">
        <v>31</v>
      </c>
      <c r="M244" s="1" t="s">
        <v>32</v>
      </c>
      <c r="N244" s="4">
        <v>36</v>
      </c>
      <c r="O244" s="1" t="s">
        <v>46</v>
      </c>
      <c r="P244" s="1" t="s">
        <v>447</v>
      </c>
      <c r="Q244" s="1" t="s">
        <v>35</v>
      </c>
      <c r="R244" s="1" t="s">
        <v>36</v>
      </c>
      <c r="S244" s="5">
        <v>248220</v>
      </c>
      <c r="T244" s="1" t="s">
        <v>443</v>
      </c>
      <c r="U244" s="1" t="s">
        <v>38</v>
      </c>
      <c r="V244" s="3">
        <v>46240.581250000003</v>
      </c>
      <c r="W244" s="6">
        <f t="shared" si="6"/>
        <v>6</v>
      </c>
      <c r="X244" s="6" t="str">
        <f t="shared" si="7"/>
        <v>Sim</v>
      </c>
    </row>
    <row r="245" spans="1:24" ht="15" customHeight="1" x14ac:dyDescent="0.3">
      <c r="A245" s="1" t="s">
        <v>825</v>
      </c>
      <c r="B245" s="1" t="s">
        <v>25</v>
      </c>
      <c r="C245" s="1" t="s">
        <v>686</v>
      </c>
      <c r="D245" s="1" t="s">
        <v>5</v>
      </c>
      <c r="E245" s="3">
        <v>46247.45</v>
      </c>
      <c r="F245" s="3">
        <v>46254.625</v>
      </c>
      <c r="G245" s="3">
        <v>46254.625</v>
      </c>
      <c r="H245" s="1" t="s">
        <v>42</v>
      </c>
      <c r="I245" s="1" t="s">
        <v>826</v>
      </c>
      <c r="J245" s="1" t="s">
        <v>118</v>
      </c>
      <c r="K245" s="1" t="s">
        <v>30</v>
      </c>
      <c r="L245" s="1" t="s">
        <v>31</v>
      </c>
      <c r="M245" s="1" t="s">
        <v>32</v>
      </c>
      <c r="N245" s="4">
        <v>36</v>
      </c>
      <c r="O245" s="1" t="s">
        <v>46</v>
      </c>
      <c r="P245" s="1" t="s">
        <v>447</v>
      </c>
      <c r="Q245" s="1" t="s">
        <v>68</v>
      </c>
      <c r="R245" s="1" t="s">
        <v>36</v>
      </c>
      <c r="S245" s="5">
        <v>12300</v>
      </c>
      <c r="T245" s="1" t="s">
        <v>69</v>
      </c>
      <c r="U245" s="1" t="s">
        <v>38</v>
      </c>
      <c r="V245" s="3">
        <v>46247.592361111099</v>
      </c>
      <c r="W245" s="6">
        <f t="shared" si="6"/>
        <v>19</v>
      </c>
      <c r="X245" s="6" t="str">
        <f t="shared" si="7"/>
        <v>Sim</v>
      </c>
    </row>
    <row r="246" spans="1:24" ht="15" customHeight="1" x14ac:dyDescent="0.3">
      <c r="A246" s="1" t="s">
        <v>827</v>
      </c>
      <c r="B246" s="1" t="s">
        <v>25</v>
      </c>
      <c r="C246" s="1" t="s">
        <v>686</v>
      </c>
      <c r="D246" s="1" t="s">
        <v>5</v>
      </c>
      <c r="E246" s="3">
        <v>46230.445833333302</v>
      </c>
      <c r="F246" s="3">
        <v>46237.708333333299</v>
      </c>
      <c r="G246" s="3">
        <v>46237.708333333299</v>
      </c>
      <c r="H246" s="1" t="s">
        <v>42</v>
      </c>
      <c r="I246" s="1" t="s">
        <v>828</v>
      </c>
      <c r="J246" s="1" t="s">
        <v>189</v>
      </c>
      <c r="K246" s="1" t="s">
        <v>30</v>
      </c>
      <c r="L246" s="1" t="s">
        <v>31</v>
      </c>
      <c r="M246" s="1" t="s">
        <v>143</v>
      </c>
      <c r="N246" s="4">
        <v>36</v>
      </c>
      <c r="O246" s="1" t="s">
        <v>46</v>
      </c>
      <c r="P246" s="1" t="s">
        <v>447</v>
      </c>
      <c r="Q246" s="1" t="s">
        <v>68</v>
      </c>
      <c r="R246" s="1" t="s">
        <v>36</v>
      </c>
      <c r="S246" s="5">
        <v>19380</v>
      </c>
      <c r="T246" s="1" t="s">
        <v>829</v>
      </c>
      <c r="U246" s="1" t="s">
        <v>38</v>
      </c>
      <c r="V246" s="3">
        <v>46230.670138888898</v>
      </c>
      <c r="W246" s="6">
        <f t="shared" si="6"/>
        <v>6</v>
      </c>
      <c r="X246" s="6" t="str">
        <f t="shared" si="7"/>
        <v>Sim</v>
      </c>
    </row>
    <row r="247" spans="1:24" ht="15" customHeight="1" x14ac:dyDescent="0.3">
      <c r="A247" s="1" t="s">
        <v>830</v>
      </c>
      <c r="B247" s="1" t="s">
        <v>25</v>
      </c>
      <c r="C247" s="1" t="s">
        <v>686</v>
      </c>
      <c r="D247" s="1" t="s">
        <v>5</v>
      </c>
      <c r="E247" s="3">
        <v>46238.470833333296</v>
      </c>
      <c r="F247" s="3">
        <v>46249.529861111099</v>
      </c>
      <c r="G247" s="3">
        <v>46249.529861111099</v>
      </c>
      <c r="H247" s="1" t="s">
        <v>42</v>
      </c>
      <c r="I247" s="1" t="s">
        <v>831</v>
      </c>
      <c r="J247" s="1" t="s">
        <v>105</v>
      </c>
      <c r="K247" s="1" t="s">
        <v>30</v>
      </c>
      <c r="L247" s="1" t="s">
        <v>31</v>
      </c>
      <c r="M247" s="1" t="s">
        <v>32</v>
      </c>
      <c r="N247" s="4">
        <v>36</v>
      </c>
      <c r="O247" s="1" t="s">
        <v>46</v>
      </c>
      <c r="P247" s="1" t="s">
        <v>832</v>
      </c>
      <c r="Q247" s="1" t="s">
        <v>68</v>
      </c>
      <c r="R247" s="1" t="s">
        <v>36</v>
      </c>
      <c r="S247" s="5">
        <v>511500</v>
      </c>
      <c r="T247" s="1" t="s">
        <v>434</v>
      </c>
      <c r="U247" s="1" t="s">
        <v>120</v>
      </c>
      <c r="V247" s="3">
        <v>46244.390972222202</v>
      </c>
      <c r="W247" s="6">
        <f t="shared" si="6"/>
        <v>2</v>
      </c>
      <c r="X247" s="6" t="str">
        <f t="shared" si="7"/>
        <v>Sim</v>
      </c>
    </row>
    <row r="248" spans="1:24" ht="15" customHeight="1" x14ac:dyDescent="0.3">
      <c r="A248" s="1" t="s">
        <v>833</v>
      </c>
      <c r="B248" s="1" t="s">
        <v>25</v>
      </c>
      <c r="C248" s="1" t="s">
        <v>686</v>
      </c>
      <c r="D248" s="1" t="s">
        <v>5</v>
      </c>
      <c r="E248" s="3">
        <v>46238.584027777797</v>
      </c>
      <c r="F248" s="3">
        <v>46247.408333333296</v>
      </c>
      <c r="G248" s="3">
        <v>46247.408333333296</v>
      </c>
      <c r="H248" s="1" t="s">
        <v>42</v>
      </c>
      <c r="I248" s="1" t="s">
        <v>834</v>
      </c>
      <c r="J248" s="1" t="s">
        <v>835</v>
      </c>
      <c r="K248" s="1" t="s">
        <v>30</v>
      </c>
      <c r="L248" s="1" t="s">
        <v>31</v>
      </c>
      <c r="M248" s="1" t="s">
        <v>32</v>
      </c>
      <c r="N248" s="4">
        <v>36</v>
      </c>
      <c r="O248" s="1" t="s">
        <v>46</v>
      </c>
      <c r="P248" s="1" t="s">
        <v>836</v>
      </c>
      <c r="Q248" s="1" t="s">
        <v>68</v>
      </c>
      <c r="R248" s="1" t="s">
        <v>36</v>
      </c>
      <c r="S248" s="5">
        <v>501720</v>
      </c>
      <c r="T248" s="1" t="s">
        <v>434</v>
      </c>
      <c r="U248" s="1" t="s">
        <v>38</v>
      </c>
      <c r="V248" s="3">
        <v>46244.390972222202</v>
      </c>
      <c r="W248" s="6">
        <f t="shared" si="6"/>
        <v>1</v>
      </c>
      <c r="X248" s="6" t="str">
        <f t="shared" si="7"/>
        <v>Não</v>
      </c>
    </row>
    <row r="249" spans="1:24" ht="15" customHeight="1" x14ac:dyDescent="0.3">
      <c r="A249" s="1" t="s">
        <v>837</v>
      </c>
      <c r="B249" s="1" t="s">
        <v>25</v>
      </c>
      <c r="C249" s="1" t="s">
        <v>686</v>
      </c>
      <c r="D249" s="1" t="s">
        <v>5</v>
      </c>
      <c r="E249" s="3">
        <v>46233.406944444498</v>
      </c>
      <c r="F249" s="3">
        <v>46245.375</v>
      </c>
      <c r="G249" s="3">
        <v>46245.375</v>
      </c>
      <c r="H249" s="1" t="s">
        <v>42</v>
      </c>
      <c r="I249" s="1" t="s">
        <v>838</v>
      </c>
      <c r="J249" s="1" t="s">
        <v>105</v>
      </c>
      <c r="K249" s="1" t="s">
        <v>30</v>
      </c>
      <c r="L249" s="1" t="s">
        <v>31</v>
      </c>
      <c r="M249" s="1" t="s">
        <v>32</v>
      </c>
      <c r="N249" s="4">
        <v>36</v>
      </c>
      <c r="O249" s="1" t="s">
        <v>46</v>
      </c>
      <c r="P249" s="1" t="s">
        <v>832</v>
      </c>
      <c r="Q249" s="1" t="s">
        <v>35</v>
      </c>
      <c r="R249" s="1" t="s">
        <v>36</v>
      </c>
      <c r="S249" s="5">
        <v>425760</v>
      </c>
      <c r="T249" s="1" t="s">
        <v>839</v>
      </c>
      <c r="U249" s="1" t="s">
        <v>120</v>
      </c>
      <c r="V249" s="3">
        <v>46238.3347222222</v>
      </c>
      <c r="W249" s="6">
        <f t="shared" si="6"/>
        <v>2</v>
      </c>
      <c r="X249" s="6" t="str">
        <f t="shared" si="7"/>
        <v>Sim</v>
      </c>
    </row>
    <row r="250" spans="1:24" ht="15" customHeight="1" x14ac:dyDescent="0.3">
      <c r="A250" s="1" t="s">
        <v>741</v>
      </c>
      <c r="B250" s="1" t="s">
        <v>25</v>
      </c>
      <c r="C250" s="1" t="s">
        <v>686</v>
      </c>
      <c r="D250" s="1" t="s">
        <v>5</v>
      </c>
      <c r="E250" s="3">
        <v>46246.501388888901</v>
      </c>
      <c r="F250" s="3">
        <v>46254.375</v>
      </c>
      <c r="G250" s="3">
        <v>46254.375</v>
      </c>
      <c r="H250" s="1" t="s">
        <v>42</v>
      </c>
      <c r="I250" s="1" t="s">
        <v>840</v>
      </c>
      <c r="J250" s="1" t="s">
        <v>690</v>
      </c>
      <c r="K250" s="1" t="s">
        <v>30</v>
      </c>
      <c r="L250" s="1" t="s">
        <v>31</v>
      </c>
      <c r="M250" s="1" t="s">
        <v>32</v>
      </c>
      <c r="N250" s="4">
        <v>36</v>
      </c>
      <c r="O250" s="1" t="s">
        <v>46</v>
      </c>
      <c r="P250" s="1" t="s">
        <v>447</v>
      </c>
      <c r="Q250" s="1" t="s">
        <v>68</v>
      </c>
      <c r="R250" s="1" t="s">
        <v>36</v>
      </c>
      <c r="S250" s="5">
        <v>72120</v>
      </c>
      <c r="T250" s="1" t="s">
        <v>69</v>
      </c>
      <c r="U250" s="1" t="s">
        <v>38</v>
      </c>
      <c r="V250" s="3">
        <v>46247.336111111101</v>
      </c>
      <c r="W250" s="6">
        <f t="shared" si="6"/>
        <v>8</v>
      </c>
      <c r="X250" s="6" t="str">
        <f t="shared" si="7"/>
        <v>Sim</v>
      </c>
    </row>
    <row r="251" spans="1:24" ht="15" customHeight="1" x14ac:dyDescent="0.3">
      <c r="A251" s="1" t="s">
        <v>841</v>
      </c>
      <c r="B251" s="1" t="s">
        <v>25</v>
      </c>
      <c r="C251" s="1" t="s">
        <v>686</v>
      </c>
      <c r="D251" s="1" t="s">
        <v>5</v>
      </c>
      <c r="E251" s="3">
        <v>46258.4284722222</v>
      </c>
      <c r="F251" s="3">
        <v>46258.618750000001</v>
      </c>
      <c r="G251" s="3">
        <v>46258.618750000001</v>
      </c>
      <c r="H251" s="1" t="s">
        <v>42</v>
      </c>
      <c r="I251" s="1" t="s">
        <v>842</v>
      </c>
      <c r="J251" s="1" t="s">
        <v>843</v>
      </c>
      <c r="K251" s="1" t="s">
        <v>51</v>
      </c>
      <c r="L251" s="1" t="s">
        <v>31</v>
      </c>
      <c r="M251" s="1" t="s">
        <v>32</v>
      </c>
      <c r="N251" s="4">
        <v>36</v>
      </c>
      <c r="O251" s="1" t="s">
        <v>46</v>
      </c>
      <c r="P251" s="1" t="s">
        <v>844</v>
      </c>
      <c r="Q251" s="1" t="s">
        <v>35</v>
      </c>
      <c r="R251" s="1" t="s">
        <v>36</v>
      </c>
      <c r="S251" s="5">
        <v>11820</v>
      </c>
      <c r="T251" s="1" t="s">
        <v>845</v>
      </c>
      <c r="U251" s="1" t="s">
        <v>38</v>
      </c>
      <c r="V251" s="3">
        <v>46258.565277777801</v>
      </c>
      <c r="W251" s="6">
        <f t="shared" si="6"/>
        <v>1</v>
      </c>
      <c r="X251" s="6" t="str">
        <f t="shared" si="7"/>
        <v>Não</v>
      </c>
    </row>
    <row r="252" spans="1:24" ht="15" customHeight="1" x14ac:dyDescent="0.3">
      <c r="A252" s="1" t="s">
        <v>846</v>
      </c>
      <c r="B252" s="1" t="s">
        <v>25</v>
      </c>
      <c r="C252" s="1" t="s">
        <v>686</v>
      </c>
      <c r="D252" s="1" t="s">
        <v>5</v>
      </c>
      <c r="E252" s="3">
        <v>46255.704861111102</v>
      </c>
      <c r="F252" s="3">
        <v>46266.458333333299</v>
      </c>
      <c r="G252" s="3">
        <v>46266.458333333299</v>
      </c>
      <c r="H252" s="1" t="s">
        <v>42</v>
      </c>
      <c r="I252" s="1" t="s">
        <v>847</v>
      </c>
      <c r="J252" s="1" t="s">
        <v>118</v>
      </c>
      <c r="K252" s="1" t="s">
        <v>51</v>
      </c>
      <c r="L252" s="1" t="s">
        <v>31</v>
      </c>
      <c r="M252" s="1" t="s">
        <v>32</v>
      </c>
      <c r="N252" s="4">
        <v>36</v>
      </c>
      <c r="O252" s="1" t="s">
        <v>46</v>
      </c>
      <c r="P252" s="1" t="s">
        <v>447</v>
      </c>
      <c r="Q252" s="1" t="s">
        <v>68</v>
      </c>
      <c r="R252" s="1" t="s">
        <v>36</v>
      </c>
      <c r="S252" s="5">
        <v>322620</v>
      </c>
      <c r="T252" s="1" t="s">
        <v>69</v>
      </c>
      <c r="U252" s="1" t="s">
        <v>38</v>
      </c>
      <c r="V252" s="3">
        <v>46259.438888888901</v>
      </c>
      <c r="W252" s="6">
        <f t="shared" si="6"/>
        <v>19</v>
      </c>
      <c r="X252" s="6" t="str">
        <f t="shared" si="7"/>
        <v>Sim</v>
      </c>
    </row>
    <row r="253" spans="1:24" ht="15" customHeight="1" x14ac:dyDescent="0.3">
      <c r="A253" s="1" t="s">
        <v>776</v>
      </c>
      <c r="B253" s="1" t="s">
        <v>25</v>
      </c>
      <c r="C253" s="1" t="s">
        <v>686</v>
      </c>
      <c r="D253" s="1" t="s">
        <v>408</v>
      </c>
      <c r="E253" s="3">
        <v>46186.345833333296</v>
      </c>
      <c r="F253" s="3">
        <v>46186.511805555601</v>
      </c>
      <c r="G253" s="3">
        <v>46186.511805555601</v>
      </c>
      <c r="H253" s="1" t="s">
        <v>42</v>
      </c>
      <c r="I253" s="1" t="s">
        <v>848</v>
      </c>
      <c r="J253" s="1" t="s">
        <v>189</v>
      </c>
      <c r="K253" s="1" t="s">
        <v>51</v>
      </c>
      <c r="L253" s="1" t="s">
        <v>31</v>
      </c>
      <c r="M253" s="1" t="s">
        <v>143</v>
      </c>
      <c r="N253" s="4">
        <v>36</v>
      </c>
      <c r="O253" s="1" t="s">
        <v>46</v>
      </c>
      <c r="P253" s="1" t="s">
        <v>447</v>
      </c>
      <c r="R253" s="1" t="s">
        <v>36</v>
      </c>
      <c r="S253" s="5">
        <v>14340</v>
      </c>
      <c r="U253" s="1" t="s">
        <v>38</v>
      </c>
      <c r="V253" s="3"/>
      <c r="W253" s="6">
        <f t="shared" si="6"/>
        <v>6</v>
      </c>
      <c r="X253" s="6" t="str">
        <f t="shared" si="7"/>
        <v>Sim</v>
      </c>
    </row>
    <row r="254" spans="1:24" ht="15" customHeight="1" x14ac:dyDescent="0.3">
      <c r="A254" s="1" t="s">
        <v>849</v>
      </c>
      <c r="B254" s="1" t="s">
        <v>25</v>
      </c>
      <c r="C254" s="1" t="s">
        <v>686</v>
      </c>
      <c r="D254" s="1" t="s">
        <v>408</v>
      </c>
      <c r="E254" s="3">
        <v>46233.507638888899</v>
      </c>
      <c r="F254" s="3">
        <v>46239.618055555598</v>
      </c>
      <c r="G254" s="3">
        <v>46239.618055555598</v>
      </c>
      <c r="H254" s="1" t="s">
        <v>42</v>
      </c>
      <c r="I254" s="1" t="s">
        <v>850</v>
      </c>
      <c r="J254" s="1" t="s">
        <v>851</v>
      </c>
      <c r="K254" s="1" t="s">
        <v>51</v>
      </c>
      <c r="L254" s="1" t="s">
        <v>31</v>
      </c>
      <c r="M254" s="1" t="s">
        <v>32</v>
      </c>
      <c r="N254" s="4">
        <v>36</v>
      </c>
      <c r="O254" s="1" t="s">
        <v>46</v>
      </c>
      <c r="P254" s="1" t="s">
        <v>852</v>
      </c>
      <c r="R254" s="1" t="s">
        <v>36</v>
      </c>
      <c r="S254" s="5">
        <v>527940</v>
      </c>
      <c r="U254" s="1" t="s">
        <v>38</v>
      </c>
      <c r="V254" s="3"/>
      <c r="W254" s="6">
        <f t="shared" si="6"/>
        <v>1</v>
      </c>
      <c r="X254" s="6" t="str">
        <f t="shared" si="7"/>
        <v>Não</v>
      </c>
    </row>
    <row r="255" spans="1:24" ht="15" customHeight="1" x14ac:dyDescent="0.3">
      <c r="A255" s="1" t="s">
        <v>853</v>
      </c>
      <c r="B255" s="1" t="s">
        <v>25</v>
      </c>
      <c r="C255" s="1" t="s">
        <v>686</v>
      </c>
      <c r="D255" s="1" t="s">
        <v>408</v>
      </c>
      <c r="E255" s="3">
        <v>46232.649305555598</v>
      </c>
      <c r="F255" s="3">
        <v>46234.468055555597</v>
      </c>
      <c r="G255" s="3">
        <v>46234.468055555597</v>
      </c>
      <c r="H255" s="1" t="s">
        <v>42</v>
      </c>
      <c r="I255" s="1" t="s">
        <v>854</v>
      </c>
      <c r="J255" s="1" t="s">
        <v>690</v>
      </c>
      <c r="K255" s="1" t="s">
        <v>30</v>
      </c>
      <c r="L255" s="1" t="s">
        <v>31</v>
      </c>
      <c r="M255" s="1" t="s">
        <v>32</v>
      </c>
      <c r="N255" s="4">
        <v>36</v>
      </c>
      <c r="O255" s="1" t="s">
        <v>46</v>
      </c>
      <c r="P255" s="1" t="s">
        <v>447</v>
      </c>
      <c r="R255" s="1" t="s">
        <v>36</v>
      </c>
      <c r="S255" s="5">
        <v>157140</v>
      </c>
      <c r="U255" s="1" t="s">
        <v>38</v>
      </c>
      <c r="V255" s="3"/>
      <c r="W255" s="6">
        <f t="shared" si="6"/>
        <v>8</v>
      </c>
      <c r="X255" s="6" t="str">
        <f t="shared" si="7"/>
        <v>Sim</v>
      </c>
    </row>
    <row r="256" spans="1:24" ht="15" customHeight="1" x14ac:dyDescent="0.3">
      <c r="A256" s="1" t="s">
        <v>855</v>
      </c>
      <c r="B256" s="1" t="s">
        <v>25</v>
      </c>
      <c r="C256" s="1" t="s">
        <v>686</v>
      </c>
      <c r="D256" s="1" t="s">
        <v>408</v>
      </c>
      <c r="E256" s="3">
        <v>46251.493750000001</v>
      </c>
      <c r="F256" s="3">
        <v>46253.702083333301</v>
      </c>
      <c r="G256" s="3">
        <v>46253.702083333301</v>
      </c>
      <c r="H256" s="1" t="s">
        <v>42</v>
      </c>
      <c r="I256" s="1" t="s">
        <v>856</v>
      </c>
      <c r="J256" s="1" t="s">
        <v>608</v>
      </c>
      <c r="K256" s="1" t="s">
        <v>30</v>
      </c>
      <c r="L256" s="1" t="s">
        <v>31</v>
      </c>
      <c r="M256" s="1" t="s">
        <v>32</v>
      </c>
      <c r="N256" s="4">
        <v>36</v>
      </c>
      <c r="O256" s="1" t="s">
        <v>46</v>
      </c>
      <c r="P256" s="1" t="s">
        <v>609</v>
      </c>
      <c r="R256" s="1" t="s">
        <v>36</v>
      </c>
      <c r="S256" s="5">
        <v>190800</v>
      </c>
      <c r="U256" s="1" t="s">
        <v>38</v>
      </c>
      <c r="V256" s="3"/>
      <c r="W256" s="6">
        <f t="shared" si="6"/>
        <v>1</v>
      </c>
      <c r="X256" s="6" t="str">
        <f t="shared" si="7"/>
        <v>Não</v>
      </c>
    </row>
    <row r="257" spans="1:24" ht="15" customHeight="1" x14ac:dyDescent="0.3">
      <c r="A257" s="1" t="s">
        <v>857</v>
      </c>
      <c r="B257" s="1" t="s">
        <v>25</v>
      </c>
      <c r="C257" s="1" t="s">
        <v>686</v>
      </c>
      <c r="D257" s="1" t="s">
        <v>408</v>
      </c>
      <c r="E257" s="3">
        <v>46174.572916666701</v>
      </c>
      <c r="F257" s="3">
        <v>46176.676388888904</v>
      </c>
      <c r="G257" s="3">
        <v>46176.676388888904</v>
      </c>
      <c r="H257" s="1" t="s">
        <v>42</v>
      </c>
      <c r="I257" s="1" t="s">
        <v>858</v>
      </c>
      <c r="J257" s="1" t="s">
        <v>814</v>
      </c>
      <c r="K257" s="1" t="s">
        <v>30</v>
      </c>
      <c r="L257" s="1" t="s">
        <v>31</v>
      </c>
      <c r="M257" s="1" t="s">
        <v>32</v>
      </c>
      <c r="N257" s="4">
        <v>36</v>
      </c>
      <c r="O257" s="1" t="s">
        <v>46</v>
      </c>
      <c r="P257" s="1" t="s">
        <v>447</v>
      </c>
      <c r="R257" s="1" t="s">
        <v>36</v>
      </c>
      <c r="S257" s="5">
        <v>181740</v>
      </c>
      <c r="U257" s="1" t="s">
        <v>38</v>
      </c>
      <c r="V257" s="3"/>
      <c r="W257" s="6">
        <f t="shared" si="6"/>
        <v>2</v>
      </c>
      <c r="X257" s="6" t="str">
        <f t="shared" si="7"/>
        <v>Sim</v>
      </c>
    </row>
    <row r="258" spans="1:24" ht="15" customHeight="1" x14ac:dyDescent="0.3">
      <c r="A258" s="1" t="s">
        <v>859</v>
      </c>
      <c r="B258" s="1" t="s">
        <v>25</v>
      </c>
      <c r="C258" s="1" t="s">
        <v>686</v>
      </c>
      <c r="D258" s="1" t="s">
        <v>408</v>
      </c>
      <c r="E258" s="3">
        <v>46230.392361111102</v>
      </c>
      <c r="F258" s="3">
        <v>46232.606249999997</v>
      </c>
      <c r="G258" s="3">
        <v>46232.606249999997</v>
      </c>
      <c r="H258" s="1" t="s">
        <v>42</v>
      </c>
      <c r="I258" s="1" t="s">
        <v>860</v>
      </c>
      <c r="J258" s="1" t="s">
        <v>861</v>
      </c>
      <c r="K258" s="1" t="s">
        <v>30</v>
      </c>
      <c r="L258" s="1" t="s">
        <v>31</v>
      </c>
      <c r="M258" s="1" t="s">
        <v>32</v>
      </c>
      <c r="N258" s="4">
        <v>36</v>
      </c>
      <c r="O258" s="1" t="s">
        <v>805</v>
      </c>
      <c r="P258" s="1" t="s">
        <v>862</v>
      </c>
      <c r="R258" s="1" t="s">
        <v>36</v>
      </c>
      <c r="S258" s="5">
        <v>191280</v>
      </c>
      <c r="U258" s="1" t="s">
        <v>38</v>
      </c>
      <c r="V258" s="3"/>
      <c r="W258" s="6">
        <f t="shared" ref="W258:W321" si="8">COUNTIFS($J$2:$J$417,J258,$C$2:$C$417,C258)</f>
        <v>1</v>
      </c>
      <c r="X258" s="6" t="str">
        <f t="shared" ref="X258:X321" si="9">IF(W258&gt;1,"Sim","Não")</f>
        <v>Não</v>
      </c>
    </row>
    <row r="259" spans="1:24" ht="15" customHeight="1" x14ac:dyDescent="0.3">
      <c r="A259" s="1" t="s">
        <v>863</v>
      </c>
      <c r="B259" s="1" t="s">
        <v>25</v>
      </c>
      <c r="C259" s="1" t="s">
        <v>686</v>
      </c>
      <c r="D259" s="1" t="s">
        <v>408</v>
      </c>
      <c r="E259" s="3">
        <v>46252.346527777801</v>
      </c>
      <c r="F259" s="3">
        <v>46255.690972222197</v>
      </c>
      <c r="G259" s="3">
        <v>46255.690972222197</v>
      </c>
      <c r="H259" s="1" t="s">
        <v>42</v>
      </c>
      <c r="I259" s="1" t="s">
        <v>864</v>
      </c>
      <c r="J259" s="1" t="s">
        <v>44</v>
      </c>
      <c r="K259" s="1" t="s">
        <v>30</v>
      </c>
      <c r="L259" s="1" t="s">
        <v>31</v>
      </c>
      <c r="M259" s="1" t="s">
        <v>32</v>
      </c>
      <c r="N259" s="4">
        <v>36</v>
      </c>
      <c r="O259" s="1" t="s">
        <v>46</v>
      </c>
      <c r="P259" s="1" t="s">
        <v>47</v>
      </c>
      <c r="R259" s="1" t="s">
        <v>36</v>
      </c>
      <c r="S259" s="5">
        <v>288960</v>
      </c>
      <c r="U259" s="1" t="s">
        <v>38</v>
      </c>
      <c r="V259" s="3"/>
      <c r="W259" s="6">
        <f t="shared" si="8"/>
        <v>1</v>
      </c>
      <c r="X259" s="6" t="str">
        <f t="shared" si="9"/>
        <v>Não</v>
      </c>
    </row>
    <row r="260" spans="1:24" ht="15" customHeight="1" x14ac:dyDescent="0.3">
      <c r="A260" s="1" t="s">
        <v>865</v>
      </c>
      <c r="B260" s="1" t="s">
        <v>25</v>
      </c>
      <c r="C260" s="1" t="s">
        <v>686</v>
      </c>
      <c r="D260" s="1" t="s">
        <v>408</v>
      </c>
      <c r="E260" s="3">
        <v>46254.508333333302</v>
      </c>
      <c r="F260" s="3">
        <v>46255.690277777801</v>
      </c>
      <c r="G260" s="3">
        <v>46255.690277777801</v>
      </c>
      <c r="H260" s="1" t="s">
        <v>42</v>
      </c>
      <c r="I260" s="1" t="s">
        <v>866</v>
      </c>
      <c r="J260" s="1" t="s">
        <v>867</v>
      </c>
      <c r="K260" s="1" t="s">
        <v>30</v>
      </c>
      <c r="L260" s="1" t="s">
        <v>31</v>
      </c>
      <c r="M260" s="1" t="s">
        <v>32</v>
      </c>
      <c r="N260" s="4">
        <v>36</v>
      </c>
      <c r="O260" s="1" t="s">
        <v>46</v>
      </c>
      <c r="P260" s="1" t="s">
        <v>868</v>
      </c>
      <c r="R260" s="1" t="s">
        <v>36</v>
      </c>
      <c r="S260" s="5">
        <v>102120</v>
      </c>
      <c r="U260" s="1" t="s">
        <v>38</v>
      </c>
      <c r="V260" s="3"/>
      <c r="W260" s="6">
        <f t="shared" si="8"/>
        <v>1</v>
      </c>
      <c r="X260" s="6" t="str">
        <f t="shared" si="9"/>
        <v>Não</v>
      </c>
    </row>
    <row r="261" spans="1:24" ht="15" customHeight="1" x14ac:dyDescent="0.3">
      <c r="A261" s="1" t="s">
        <v>776</v>
      </c>
      <c r="B261" s="1" t="s">
        <v>25</v>
      </c>
      <c r="C261" s="1" t="s">
        <v>686</v>
      </c>
      <c r="D261" s="1" t="s">
        <v>408</v>
      </c>
      <c r="E261" s="3">
        <v>46186.343055555597</v>
      </c>
      <c r="F261" s="3">
        <v>46189.711805555598</v>
      </c>
      <c r="G261" s="3">
        <v>46189.711805555598</v>
      </c>
      <c r="H261" s="1" t="s">
        <v>42</v>
      </c>
      <c r="I261" s="1" t="s">
        <v>869</v>
      </c>
      <c r="J261" s="1" t="s">
        <v>189</v>
      </c>
      <c r="K261" s="1" t="s">
        <v>30</v>
      </c>
      <c r="L261" s="1" t="s">
        <v>31</v>
      </c>
      <c r="M261" s="1" t="s">
        <v>32</v>
      </c>
      <c r="N261" s="4">
        <v>36</v>
      </c>
      <c r="O261" s="1" t="s">
        <v>46</v>
      </c>
      <c r="P261" s="1" t="s">
        <v>447</v>
      </c>
      <c r="R261" s="1" t="s">
        <v>36</v>
      </c>
      <c r="S261" s="5">
        <v>291060</v>
      </c>
      <c r="U261" s="1" t="s">
        <v>38</v>
      </c>
      <c r="V261" s="3"/>
      <c r="W261" s="6">
        <f t="shared" si="8"/>
        <v>6</v>
      </c>
      <c r="X261" s="6" t="str">
        <f t="shared" si="9"/>
        <v>Sim</v>
      </c>
    </row>
    <row r="262" spans="1:24" ht="15" customHeight="1" x14ac:dyDescent="0.3">
      <c r="A262" s="1" t="s">
        <v>870</v>
      </c>
      <c r="B262" s="1" t="s">
        <v>25</v>
      </c>
      <c r="C262" s="1" t="s">
        <v>686</v>
      </c>
      <c r="D262" s="1" t="s">
        <v>408</v>
      </c>
      <c r="E262" s="3">
        <v>46230.379166666702</v>
      </c>
      <c r="F262" s="3">
        <v>46232.386805555601</v>
      </c>
      <c r="G262" s="3">
        <v>46234.620833333298</v>
      </c>
      <c r="H262" s="1" t="s">
        <v>42</v>
      </c>
      <c r="I262" s="1" t="s">
        <v>871</v>
      </c>
      <c r="J262" s="1" t="s">
        <v>796</v>
      </c>
      <c r="K262" s="1" t="s">
        <v>30</v>
      </c>
      <c r="L262" s="1" t="s">
        <v>31</v>
      </c>
      <c r="M262" s="1" t="s">
        <v>32</v>
      </c>
      <c r="N262" s="4">
        <v>36</v>
      </c>
      <c r="O262" s="1" t="s">
        <v>46</v>
      </c>
      <c r="P262" s="1" t="s">
        <v>447</v>
      </c>
      <c r="R262" s="1" t="s">
        <v>36</v>
      </c>
      <c r="S262" s="5">
        <v>173460</v>
      </c>
      <c r="U262" s="1" t="s">
        <v>38</v>
      </c>
      <c r="V262" s="3"/>
      <c r="W262" s="6">
        <f t="shared" si="8"/>
        <v>2</v>
      </c>
      <c r="X262" s="6" t="str">
        <f t="shared" si="9"/>
        <v>Sim</v>
      </c>
    </row>
    <row r="263" spans="1:24" ht="15" customHeight="1" x14ac:dyDescent="0.3">
      <c r="A263" s="1" t="s">
        <v>599</v>
      </c>
      <c r="B263" s="1" t="s">
        <v>25</v>
      </c>
      <c r="C263" s="1" t="s">
        <v>686</v>
      </c>
      <c r="D263" s="1" t="s">
        <v>408</v>
      </c>
      <c r="E263" s="3">
        <v>46224.596527777801</v>
      </c>
      <c r="F263" s="3">
        <v>46224.681944444397</v>
      </c>
      <c r="G263" s="3">
        <v>46224.681944444397</v>
      </c>
      <c r="H263" s="1" t="s">
        <v>42</v>
      </c>
      <c r="I263" s="1" t="s">
        <v>872</v>
      </c>
      <c r="J263" s="1" t="s">
        <v>873</v>
      </c>
      <c r="K263" s="1" t="s">
        <v>30</v>
      </c>
      <c r="L263" s="1" t="s">
        <v>31</v>
      </c>
      <c r="M263" s="1" t="s">
        <v>32</v>
      </c>
      <c r="N263" s="4">
        <v>36</v>
      </c>
      <c r="O263" s="1" t="s">
        <v>46</v>
      </c>
      <c r="P263" s="1" t="s">
        <v>176</v>
      </c>
      <c r="R263" s="1" t="s">
        <v>36</v>
      </c>
      <c r="S263" s="5">
        <v>7380</v>
      </c>
      <c r="U263" s="1" t="s">
        <v>38</v>
      </c>
      <c r="V263" s="3"/>
      <c r="W263" s="6">
        <f t="shared" si="8"/>
        <v>1</v>
      </c>
      <c r="X263" s="6" t="str">
        <f t="shared" si="9"/>
        <v>Não</v>
      </c>
    </row>
    <row r="264" spans="1:24" ht="15" customHeight="1" x14ac:dyDescent="0.3">
      <c r="A264" s="1" t="s">
        <v>874</v>
      </c>
      <c r="B264" s="1" t="s">
        <v>25</v>
      </c>
      <c r="C264" s="1" t="s">
        <v>875</v>
      </c>
      <c r="D264" s="1" t="s">
        <v>5</v>
      </c>
      <c r="E264" s="3">
        <v>46176.533333333296</v>
      </c>
      <c r="F264" s="3">
        <v>46181.514583333301</v>
      </c>
      <c r="G264" s="3">
        <v>46181.514583333301</v>
      </c>
      <c r="H264" s="1" t="s">
        <v>42</v>
      </c>
      <c r="I264" s="1" t="s">
        <v>876</v>
      </c>
      <c r="J264" s="1" t="s">
        <v>877</v>
      </c>
      <c r="K264" s="1" t="s">
        <v>30</v>
      </c>
      <c r="L264" s="1" t="s">
        <v>31</v>
      </c>
      <c r="M264" s="1" t="s">
        <v>32</v>
      </c>
      <c r="N264" s="4">
        <v>36</v>
      </c>
      <c r="O264" s="1" t="s">
        <v>46</v>
      </c>
      <c r="P264" s="1" t="s">
        <v>878</v>
      </c>
      <c r="Q264" s="1" t="s">
        <v>35</v>
      </c>
      <c r="R264" s="1" t="s">
        <v>36</v>
      </c>
      <c r="S264" s="5">
        <v>413400</v>
      </c>
      <c r="T264" s="1" t="s">
        <v>879</v>
      </c>
      <c r="U264" s="1" t="s">
        <v>38</v>
      </c>
      <c r="V264" s="3">
        <v>46181.318055555603</v>
      </c>
      <c r="W264" s="6">
        <f t="shared" si="8"/>
        <v>1</v>
      </c>
      <c r="X264" s="6" t="str">
        <f t="shared" si="9"/>
        <v>Não</v>
      </c>
    </row>
    <row r="265" spans="1:24" ht="15" customHeight="1" x14ac:dyDescent="0.3">
      <c r="A265" s="1" t="s">
        <v>880</v>
      </c>
      <c r="B265" s="1" t="s">
        <v>25</v>
      </c>
      <c r="C265" s="1" t="s">
        <v>881</v>
      </c>
      <c r="D265" s="1" t="s">
        <v>5</v>
      </c>
      <c r="E265" s="3">
        <v>46199.470833333296</v>
      </c>
      <c r="F265" s="3">
        <v>46210.708333333299</v>
      </c>
      <c r="G265" s="3">
        <v>46210.708333333299</v>
      </c>
      <c r="H265" s="1" t="s">
        <v>42</v>
      </c>
      <c r="I265" s="1" t="s">
        <v>882</v>
      </c>
      <c r="J265" s="1" t="s">
        <v>883</v>
      </c>
      <c r="K265" s="1" t="s">
        <v>51</v>
      </c>
      <c r="L265" s="1" t="s">
        <v>31</v>
      </c>
      <c r="M265" s="1" t="s">
        <v>45</v>
      </c>
      <c r="N265" s="4">
        <v>36</v>
      </c>
      <c r="O265" s="1" t="s">
        <v>46</v>
      </c>
      <c r="P265" s="1" t="s">
        <v>47</v>
      </c>
      <c r="Q265" s="1" t="s">
        <v>88</v>
      </c>
      <c r="R265" s="1" t="s">
        <v>36</v>
      </c>
      <c r="S265" s="5">
        <v>363420</v>
      </c>
      <c r="T265" s="1" t="s">
        <v>884</v>
      </c>
      <c r="U265" s="1" t="s">
        <v>38</v>
      </c>
      <c r="V265" s="3">
        <v>46203.677083333299</v>
      </c>
      <c r="W265" s="6">
        <f t="shared" si="8"/>
        <v>2</v>
      </c>
      <c r="X265" s="6" t="str">
        <f t="shared" si="9"/>
        <v>Sim</v>
      </c>
    </row>
    <row r="266" spans="1:24" ht="15" customHeight="1" x14ac:dyDescent="0.3">
      <c r="A266" s="1" t="s">
        <v>885</v>
      </c>
      <c r="B266" s="1" t="s">
        <v>25</v>
      </c>
      <c r="C266" s="1" t="s">
        <v>881</v>
      </c>
      <c r="D266" s="1" t="s">
        <v>5</v>
      </c>
      <c r="E266" s="3">
        <v>46213.502777777801</v>
      </c>
      <c r="F266" s="3">
        <v>46231.625</v>
      </c>
      <c r="G266" s="3">
        <v>46231.625</v>
      </c>
      <c r="H266" s="1" t="s">
        <v>42</v>
      </c>
      <c r="I266" s="1" t="s">
        <v>886</v>
      </c>
      <c r="J266" s="1" t="s">
        <v>883</v>
      </c>
      <c r="K266" s="1" t="s">
        <v>30</v>
      </c>
      <c r="L266" s="1" t="s">
        <v>31</v>
      </c>
      <c r="M266" s="1" t="s">
        <v>45</v>
      </c>
      <c r="N266" s="4">
        <v>36</v>
      </c>
      <c r="O266" s="1" t="s">
        <v>46</v>
      </c>
      <c r="P266" s="1" t="s">
        <v>47</v>
      </c>
      <c r="Q266" s="1" t="s">
        <v>68</v>
      </c>
      <c r="R266" s="1" t="s">
        <v>36</v>
      </c>
      <c r="S266" s="5">
        <v>959040</v>
      </c>
      <c r="T266" s="1" t="s">
        <v>887</v>
      </c>
      <c r="U266" s="1" t="s">
        <v>38</v>
      </c>
      <c r="V266" s="3">
        <v>46224.6027777778</v>
      </c>
      <c r="W266" s="6">
        <f t="shared" si="8"/>
        <v>2</v>
      </c>
      <c r="X266" s="6" t="str">
        <f t="shared" si="9"/>
        <v>Sim</v>
      </c>
    </row>
    <row r="267" spans="1:24" ht="15" customHeight="1" x14ac:dyDescent="0.3">
      <c r="A267" s="1" t="s">
        <v>888</v>
      </c>
      <c r="B267" s="1" t="s">
        <v>25</v>
      </c>
      <c r="C267" s="1" t="s">
        <v>881</v>
      </c>
      <c r="D267" s="1" t="s">
        <v>5</v>
      </c>
      <c r="E267" s="3">
        <v>46210.702083333301</v>
      </c>
      <c r="F267" s="3">
        <v>46219.375</v>
      </c>
      <c r="G267" s="3">
        <v>46219.375</v>
      </c>
      <c r="H267" s="1" t="s">
        <v>42</v>
      </c>
      <c r="I267" s="1" t="s">
        <v>889</v>
      </c>
      <c r="J267" s="1" t="s">
        <v>890</v>
      </c>
      <c r="K267" s="1" t="s">
        <v>30</v>
      </c>
      <c r="L267" s="1" t="s">
        <v>31</v>
      </c>
      <c r="M267" s="1" t="s">
        <v>45</v>
      </c>
      <c r="N267" s="4">
        <v>36</v>
      </c>
      <c r="O267" s="1" t="s">
        <v>46</v>
      </c>
      <c r="P267" s="1" t="s">
        <v>47</v>
      </c>
      <c r="Q267" s="1" t="s">
        <v>35</v>
      </c>
      <c r="R267" s="1" t="s">
        <v>36</v>
      </c>
      <c r="S267" s="5">
        <v>141840</v>
      </c>
      <c r="T267" s="1" t="s">
        <v>891</v>
      </c>
      <c r="U267" s="1" t="s">
        <v>38</v>
      </c>
      <c r="V267" s="3">
        <v>46212.34375</v>
      </c>
      <c r="W267" s="6">
        <f t="shared" si="8"/>
        <v>1</v>
      </c>
      <c r="X267" s="6" t="str">
        <f t="shared" si="9"/>
        <v>Não</v>
      </c>
    </row>
    <row r="268" spans="1:24" ht="15" customHeight="1" x14ac:dyDescent="0.3">
      <c r="A268" s="1" t="s">
        <v>892</v>
      </c>
      <c r="B268" s="1" t="s">
        <v>25</v>
      </c>
      <c r="C268" s="1" t="s">
        <v>881</v>
      </c>
      <c r="D268" s="1" t="s">
        <v>408</v>
      </c>
      <c r="E268" s="3">
        <v>46231.4375</v>
      </c>
      <c r="F268" s="3">
        <v>46232.460416666698</v>
      </c>
      <c r="G268" s="3">
        <v>46239.444444444503</v>
      </c>
      <c r="H268" s="1" t="s">
        <v>42</v>
      </c>
      <c r="I268" s="1" t="s">
        <v>893</v>
      </c>
      <c r="J268" s="1" t="s">
        <v>894</v>
      </c>
      <c r="K268" s="1" t="s">
        <v>51</v>
      </c>
      <c r="L268" s="1" t="s">
        <v>31</v>
      </c>
      <c r="M268" s="1" t="s">
        <v>45</v>
      </c>
      <c r="N268" s="4">
        <v>36</v>
      </c>
      <c r="O268" s="1" t="s">
        <v>46</v>
      </c>
      <c r="P268" s="1" t="s">
        <v>895</v>
      </c>
      <c r="R268" s="1" t="s">
        <v>36</v>
      </c>
      <c r="S268" s="5">
        <v>88380</v>
      </c>
      <c r="U268" s="1" t="s">
        <v>120</v>
      </c>
      <c r="V268" s="3"/>
      <c r="W268" s="6">
        <f t="shared" si="8"/>
        <v>1</v>
      </c>
      <c r="X268" s="6" t="str">
        <f t="shared" si="9"/>
        <v>Não</v>
      </c>
    </row>
    <row r="269" spans="1:24" ht="15" customHeight="1" x14ac:dyDescent="0.3">
      <c r="A269" s="1" t="s">
        <v>52</v>
      </c>
      <c r="B269" s="1" t="s">
        <v>25</v>
      </c>
      <c r="C269" s="1" t="s">
        <v>896</v>
      </c>
      <c r="D269" s="1" t="s">
        <v>41</v>
      </c>
      <c r="E269" s="3">
        <v>46275.481249999997</v>
      </c>
      <c r="F269" s="3"/>
      <c r="G269" s="3">
        <v>46275.574305555601</v>
      </c>
      <c r="H269" s="1" t="s">
        <v>42</v>
      </c>
      <c r="I269" s="1" t="s">
        <v>897</v>
      </c>
      <c r="J269" s="1" t="s">
        <v>898</v>
      </c>
      <c r="K269" s="1" t="s">
        <v>30</v>
      </c>
      <c r="L269" s="1" t="s">
        <v>31</v>
      </c>
      <c r="M269" s="1" t="s">
        <v>680</v>
      </c>
      <c r="N269" s="4">
        <v>36</v>
      </c>
      <c r="O269" s="1" t="s">
        <v>46</v>
      </c>
      <c r="P269" s="1" t="s">
        <v>176</v>
      </c>
      <c r="R269" s="1" t="s">
        <v>36</v>
      </c>
      <c r="S269" s="5"/>
      <c r="U269" s="1" t="s">
        <v>38</v>
      </c>
      <c r="V269" s="3"/>
      <c r="W269" s="6">
        <f t="shared" si="8"/>
        <v>4</v>
      </c>
      <c r="X269" s="6" t="str">
        <f t="shared" si="9"/>
        <v>Sim</v>
      </c>
    </row>
    <row r="270" spans="1:24" ht="15" customHeight="1" x14ac:dyDescent="0.3">
      <c r="A270" s="1" t="s">
        <v>899</v>
      </c>
      <c r="B270" s="1" t="s">
        <v>25</v>
      </c>
      <c r="C270" s="1" t="s">
        <v>896</v>
      </c>
      <c r="D270" s="1" t="s">
        <v>21</v>
      </c>
      <c r="E270" s="3">
        <v>46268.453472222202</v>
      </c>
      <c r="F270" s="3"/>
      <c r="G270" s="3">
        <v>46268.711805555598</v>
      </c>
      <c r="H270" s="1" t="s">
        <v>42</v>
      </c>
      <c r="I270" s="1" t="s">
        <v>900</v>
      </c>
      <c r="J270" s="1" t="s">
        <v>901</v>
      </c>
      <c r="K270" s="1" t="s">
        <v>30</v>
      </c>
      <c r="L270" s="1" t="s">
        <v>31</v>
      </c>
      <c r="M270" s="1" t="s">
        <v>62</v>
      </c>
      <c r="N270" s="4">
        <v>36</v>
      </c>
      <c r="O270" s="1" t="s">
        <v>46</v>
      </c>
      <c r="P270" s="1" t="s">
        <v>47</v>
      </c>
      <c r="Q270" s="1" t="s">
        <v>145</v>
      </c>
      <c r="R270" s="1" t="s">
        <v>36</v>
      </c>
      <c r="S270" s="5">
        <v>22320</v>
      </c>
      <c r="T270" s="1" t="s">
        <v>902</v>
      </c>
      <c r="U270" s="1" t="s">
        <v>38</v>
      </c>
      <c r="V270" s="3">
        <v>46268.711805555598</v>
      </c>
      <c r="W270" s="6">
        <f t="shared" si="8"/>
        <v>2</v>
      </c>
      <c r="X270" s="6" t="str">
        <f t="shared" si="9"/>
        <v>Sim</v>
      </c>
    </row>
    <row r="271" spans="1:24" ht="15" customHeight="1" x14ac:dyDescent="0.3">
      <c r="A271" s="1" t="s">
        <v>903</v>
      </c>
      <c r="B271" s="1" t="s">
        <v>25</v>
      </c>
      <c r="C271" s="1" t="s">
        <v>896</v>
      </c>
      <c r="D271" s="1" t="s">
        <v>21</v>
      </c>
      <c r="E271" s="3">
        <v>46274.495833333298</v>
      </c>
      <c r="F271" s="3"/>
      <c r="G271" s="3">
        <v>46275.402777777803</v>
      </c>
      <c r="H271" s="1" t="s">
        <v>42</v>
      </c>
      <c r="I271" s="1" t="s">
        <v>904</v>
      </c>
      <c r="J271" s="1" t="s">
        <v>905</v>
      </c>
      <c r="K271" s="1" t="s">
        <v>51</v>
      </c>
      <c r="L271" s="1" t="s">
        <v>31</v>
      </c>
      <c r="M271" s="1" t="s">
        <v>680</v>
      </c>
      <c r="N271" s="4">
        <v>36</v>
      </c>
      <c r="O271" s="1" t="s">
        <v>46</v>
      </c>
      <c r="P271" s="1" t="s">
        <v>47</v>
      </c>
      <c r="Q271" s="1" t="s">
        <v>145</v>
      </c>
      <c r="R271" s="1" t="s">
        <v>36</v>
      </c>
      <c r="S271" s="5">
        <v>78360</v>
      </c>
      <c r="T271" s="1" t="s">
        <v>906</v>
      </c>
      <c r="U271" s="1" t="s">
        <v>38</v>
      </c>
      <c r="V271" s="3">
        <v>46275.402777777803</v>
      </c>
      <c r="W271" s="6">
        <f t="shared" si="8"/>
        <v>1</v>
      </c>
      <c r="X271" s="6" t="str">
        <f t="shared" si="9"/>
        <v>Não</v>
      </c>
    </row>
    <row r="272" spans="1:24" ht="15" customHeight="1" x14ac:dyDescent="0.3">
      <c r="A272" s="1" t="s">
        <v>907</v>
      </c>
      <c r="B272" s="1" t="s">
        <v>25</v>
      </c>
      <c r="C272" s="1" t="s">
        <v>896</v>
      </c>
      <c r="D272" s="1" t="s">
        <v>21</v>
      </c>
      <c r="E272" s="3">
        <v>46274.713194444397</v>
      </c>
      <c r="F272" s="3"/>
      <c r="G272" s="3">
        <v>46275.582638888904</v>
      </c>
      <c r="H272" s="1" t="s">
        <v>42</v>
      </c>
      <c r="I272" s="1" t="s">
        <v>908</v>
      </c>
      <c r="J272" s="1" t="s">
        <v>305</v>
      </c>
      <c r="K272" s="1" t="s">
        <v>51</v>
      </c>
      <c r="L272" s="1" t="s">
        <v>31</v>
      </c>
      <c r="M272" s="1" t="s">
        <v>680</v>
      </c>
      <c r="N272" s="4">
        <v>36</v>
      </c>
      <c r="O272" s="1" t="s">
        <v>46</v>
      </c>
      <c r="P272" s="1" t="s">
        <v>47</v>
      </c>
      <c r="Q272" s="1" t="s">
        <v>145</v>
      </c>
      <c r="R272" s="1" t="s">
        <v>36</v>
      </c>
      <c r="S272" s="5">
        <v>75120</v>
      </c>
      <c r="T272" s="1" t="s">
        <v>909</v>
      </c>
      <c r="U272" s="1" t="s">
        <v>38</v>
      </c>
      <c r="V272" s="3">
        <v>46275.582638888904</v>
      </c>
      <c r="W272" s="6">
        <f t="shared" si="8"/>
        <v>9</v>
      </c>
      <c r="X272" s="6" t="str">
        <f t="shared" si="9"/>
        <v>Sim</v>
      </c>
    </row>
    <row r="273" spans="1:24" ht="15" customHeight="1" x14ac:dyDescent="0.3">
      <c r="A273" s="1" t="s">
        <v>910</v>
      </c>
      <c r="B273" s="1" t="s">
        <v>25</v>
      </c>
      <c r="C273" s="1" t="s">
        <v>896</v>
      </c>
      <c r="D273" s="1" t="s">
        <v>21</v>
      </c>
      <c r="E273" s="3">
        <v>46273.438194444498</v>
      </c>
      <c r="F273" s="3"/>
      <c r="G273" s="3">
        <v>46275.584027777797</v>
      </c>
      <c r="H273" s="1" t="s">
        <v>42</v>
      </c>
      <c r="I273" s="1" t="s">
        <v>911</v>
      </c>
      <c r="J273" s="1" t="s">
        <v>679</v>
      </c>
      <c r="K273" s="1" t="s">
        <v>51</v>
      </c>
      <c r="L273" s="1" t="s">
        <v>31</v>
      </c>
      <c r="M273" s="1" t="s">
        <v>680</v>
      </c>
      <c r="N273" s="4">
        <v>36</v>
      </c>
      <c r="O273" s="1" t="s">
        <v>46</v>
      </c>
      <c r="P273" s="1" t="s">
        <v>47</v>
      </c>
      <c r="Q273" s="1" t="s">
        <v>145</v>
      </c>
      <c r="R273" s="1" t="s">
        <v>36</v>
      </c>
      <c r="S273" s="5">
        <v>185400</v>
      </c>
      <c r="T273" s="1" t="s">
        <v>912</v>
      </c>
      <c r="U273" s="1" t="s">
        <v>38</v>
      </c>
      <c r="V273" s="3">
        <v>46275.584027777797</v>
      </c>
      <c r="W273" s="6">
        <f t="shared" si="8"/>
        <v>1</v>
      </c>
      <c r="X273" s="6" t="str">
        <f t="shared" si="9"/>
        <v>Não</v>
      </c>
    </row>
    <row r="274" spans="1:24" ht="15" customHeight="1" x14ac:dyDescent="0.3">
      <c r="A274" s="1" t="s">
        <v>913</v>
      </c>
      <c r="B274" s="1" t="s">
        <v>25</v>
      </c>
      <c r="C274" s="1" t="s">
        <v>896</v>
      </c>
      <c r="D274" s="1" t="s">
        <v>21</v>
      </c>
      <c r="E274" s="3">
        <v>46261.406944444498</v>
      </c>
      <c r="F274" s="3"/>
      <c r="G274" s="3">
        <v>46269.606249999997</v>
      </c>
      <c r="H274" s="1" t="s">
        <v>42</v>
      </c>
      <c r="I274" s="1" t="s">
        <v>914</v>
      </c>
      <c r="J274" s="1" t="s">
        <v>305</v>
      </c>
      <c r="K274" s="1" t="s">
        <v>30</v>
      </c>
      <c r="L274" s="1" t="s">
        <v>31</v>
      </c>
      <c r="M274" s="1" t="s">
        <v>680</v>
      </c>
      <c r="N274" s="4">
        <v>36</v>
      </c>
      <c r="O274" s="1" t="s">
        <v>46</v>
      </c>
      <c r="P274" s="1" t="s">
        <v>47</v>
      </c>
      <c r="Q274" s="1" t="s">
        <v>145</v>
      </c>
      <c r="R274" s="1" t="s">
        <v>36</v>
      </c>
      <c r="S274" s="5">
        <v>708420</v>
      </c>
      <c r="T274" s="1" t="s">
        <v>915</v>
      </c>
      <c r="U274" s="1" t="s">
        <v>38</v>
      </c>
      <c r="V274" s="3">
        <v>46269.606249999997</v>
      </c>
      <c r="W274" s="6">
        <f t="shared" si="8"/>
        <v>9</v>
      </c>
      <c r="X274" s="6" t="str">
        <f t="shared" si="9"/>
        <v>Sim</v>
      </c>
    </row>
    <row r="275" spans="1:24" ht="15" customHeight="1" x14ac:dyDescent="0.3">
      <c r="A275" s="1" t="s">
        <v>916</v>
      </c>
      <c r="B275" s="1" t="s">
        <v>25</v>
      </c>
      <c r="C275" s="1" t="s">
        <v>896</v>
      </c>
      <c r="D275" s="1" t="s">
        <v>21</v>
      </c>
      <c r="E275" s="3">
        <v>46269.359722222202</v>
      </c>
      <c r="F275" s="3"/>
      <c r="G275" s="3">
        <v>46275.386805555601</v>
      </c>
      <c r="H275" s="1" t="s">
        <v>42</v>
      </c>
      <c r="I275" s="1" t="s">
        <v>917</v>
      </c>
      <c r="J275" s="1" t="s">
        <v>918</v>
      </c>
      <c r="K275" s="1" t="s">
        <v>30</v>
      </c>
      <c r="L275" s="1" t="s">
        <v>31</v>
      </c>
      <c r="M275" s="1" t="s">
        <v>680</v>
      </c>
      <c r="N275" s="4">
        <v>36</v>
      </c>
      <c r="O275" s="1" t="s">
        <v>46</v>
      </c>
      <c r="P275" s="1" t="s">
        <v>47</v>
      </c>
      <c r="Q275" s="1" t="s">
        <v>145</v>
      </c>
      <c r="R275" s="1" t="s">
        <v>36</v>
      </c>
      <c r="S275" s="5">
        <v>520740</v>
      </c>
      <c r="T275" s="1" t="s">
        <v>919</v>
      </c>
      <c r="U275" s="1" t="s">
        <v>38</v>
      </c>
      <c r="V275" s="3">
        <v>46275.386805555601</v>
      </c>
      <c r="W275" s="6">
        <f t="shared" si="8"/>
        <v>9</v>
      </c>
      <c r="X275" s="6" t="str">
        <f t="shared" si="9"/>
        <v>Sim</v>
      </c>
    </row>
    <row r="276" spans="1:24" ht="15" customHeight="1" x14ac:dyDescent="0.3">
      <c r="A276" s="1" t="s">
        <v>920</v>
      </c>
      <c r="B276" s="1" t="s">
        <v>25</v>
      </c>
      <c r="C276" s="1" t="s">
        <v>896</v>
      </c>
      <c r="D276" s="1" t="s">
        <v>5</v>
      </c>
      <c r="E276" s="3">
        <v>46181.593055555597</v>
      </c>
      <c r="F276" s="3">
        <v>46182.517361111102</v>
      </c>
      <c r="G276" s="3">
        <v>46182.517361111102</v>
      </c>
      <c r="H276" s="1" t="s">
        <v>42</v>
      </c>
      <c r="I276" s="1" t="s">
        <v>921</v>
      </c>
      <c r="J276" s="1" t="s">
        <v>922</v>
      </c>
      <c r="K276" s="1" t="s">
        <v>30</v>
      </c>
      <c r="L276" s="1" t="s">
        <v>31</v>
      </c>
      <c r="M276" s="1" t="s">
        <v>45</v>
      </c>
      <c r="N276" s="4">
        <v>36</v>
      </c>
      <c r="O276" s="1" t="s">
        <v>46</v>
      </c>
      <c r="P276" s="1" t="s">
        <v>176</v>
      </c>
      <c r="Q276" s="1" t="s">
        <v>68</v>
      </c>
      <c r="R276" s="1" t="s">
        <v>36</v>
      </c>
      <c r="S276" s="5">
        <v>10860</v>
      </c>
      <c r="T276" s="1" t="s">
        <v>923</v>
      </c>
      <c r="U276" s="1" t="s">
        <v>38</v>
      </c>
      <c r="V276" s="3">
        <v>46181.71875</v>
      </c>
      <c r="W276" s="6">
        <f t="shared" si="8"/>
        <v>4</v>
      </c>
      <c r="X276" s="6" t="str">
        <f t="shared" si="9"/>
        <v>Sim</v>
      </c>
    </row>
    <row r="277" spans="1:24" ht="15" customHeight="1" x14ac:dyDescent="0.3">
      <c r="A277" s="1" t="s">
        <v>924</v>
      </c>
      <c r="B277" s="1" t="s">
        <v>25</v>
      </c>
      <c r="C277" s="1" t="s">
        <v>896</v>
      </c>
      <c r="D277" s="1" t="s">
        <v>5</v>
      </c>
      <c r="E277" s="3">
        <v>46209.620833333298</v>
      </c>
      <c r="F277" s="3">
        <v>46216.666666666701</v>
      </c>
      <c r="G277" s="3">
        <v>46216.666666666701</v>
      </c>
      <c r="H277" s="1" t="s">
        <v>42</v>
      </c>
      <c r="I277" s="1" t="s">
        <v>925</v>
      </c>
      <c r="J277" s="1" t="s">
        <v>926</v>
      </c>
      <c r="K277" s="1" t="s">
        <v>30</v>
      </c>
      <c r="L277" s="1" t="s">
        <v>31</v>
      </c>
      <c r="M277" s="1" t="s">
        <v>45</v>
      </c>
      <c r="N277" s="4">
        <v>36</v>
      </c>
      <c r="O277" s="1" t="s">
        <v>46</v>
      </c>
      <c r="P277" s="1" t="s">
        <v>176</v>
      </c>
      <c r="Q277" s="1" t="s">
        <v>68</v>
      </c>
      <c r="R277" s="1" t="s">
        <v>36</v>
      </c>
      <c r="S277" s="5">
        <v>2520</v>
      </c>
      <c r="T277" s="1" t="s">
        <v>927</v>
      </c>
      <c r="U277" s="1" t="s">
        <v>38</v>
      </c>
      <c r="V277" s="3">
        <v>46209.65</v>
      </c>
      <c r="W277" s="6">
        <f t="shared" si="8"/>
        <v>1</v>
      </c>
      <c r="X277" s="6" t="str">
        <f t="shared" si="9"/>
        <v>Não</v>
      </c>
    </row>
    <row r="278" spans="1:24" ht="15" customHeight="1" x14ac:dyDescent="0.3">
      <c r="A278" s="1" t="s">
        <v>928</v>
      </c>
      <c r="B278" s="1" t="s">
        <v>25</v>
      </c>
      <c r="C278" s="1" t="s">
        <v>896</v>
      </c>
      <c r="D278" s="1" t="s">
        <v>5</v>
      </c>
      <c r="E278" s="3">
        <v>46225.501388888901</v>
      </c>
      <c r="F278" s="3">
        <v>46232.625</v>
      </c>
      <c r="G278" s="3">
        <v>46232.625</v>
      </c>
      <c r="H278" s="1" t="s">
        <v>42</v>
      </c>
      <c r="I278" s="1" t="s">
        <v>929</v>
      </c>
      <c r="J278" s="1" t="s">
        <v>930</v>
      </c>
      <c r="K278" s="1" t="s">
        <v>30</v>
      </c>
      <c r="L278" s="1" t="s">
        <v>31</v>
      </c>
      <c r="M278" s="1" t="s">
        <v>45</v>
      </c>
      <c r="N278" s="4">
        <v>36</v>
      </c>
      <c r="O278" s="1" t="s">
        <v>46</v>
      </c>
      <c r="P278" s="1" t="s">
        <v>176</v>
      </c>
      <c r="Q278" s="1" t="s">
        <v>68</v>
      </c>
      <c r="R278" s="1" t="s">
        <v>36</v>
      </c>
      <c r="S278" s="5">
        <v>7800</v>
      </c>
      <c r="T278" s="1" t="s">
        <v>931</v>
      </c>
      <c r="U278" s="1" t="s">
        <v>38</v>
      </c>
      <c r="V278" s="3">
        <v>46225.591666666704</v>
      </c>
      <c r="W278" s="6">
        <f t="shared" si="8"/>
        <v>2</v>
      </c>
      <c r="X278" s="6" t="str">
        <f t="shared" si="9"/>
        <v>Sim</v>
      </c>
    </row>
    <row r="279" spans="1:24" ht="15" customHeight="1" x14ac:dyDescent="0.3">
      <c r="A279" s="1" t="s">
        <v>932</v>
      </c>
      <c r="B279" s="1" t="s">
        <v>25</v>
      </c>
      <c r="C279" s="1" t="s">
        <v>896</v>
      </c>
      <c r="D279" s="1" t="s">
        <v>5</v>
      </c>
      <c r="E279" s="3">
        <v>46259.431250000001</v>
      </c>
      <c r="F279" s="3">
        <v>46268.583333333299</v>
      </c>
      <c r="G279" s="3">
        <v>46268.583333333299</v>
      </c>
      <c r="H279" s="1" t="s">
        <v>42</v>
      </c>
      <c r="I279" s="1" t="s">
        <v>933</v>
      </c>
      <c r="J279" s="1" t="s">
        <v>934</v>
      </c>
      <c r="K279" s="1" t="s">
        <v>30</v>
      </c>
      <c r="L279" s="1" t="s">
        <v>31</v>
      </c>
      <c r="M279" s="1" t="s">
        <v>680</v>
      </c>
      <c r="N279" s="4">
        <v>36</v>
      </c>
      <c r="O279" s="1" t="s">
        <v>46</v>
      </c>
      <c r="P279" s="1" t="s">
        <v>47</v>
      </c>
      <c r="Q279" s="1" t="s">
        <v>68</v>
      </c>
      <c r="R279" s="1" t="s">
        <v>36</v>
      </c>
      <c r="S279" s="5">
        <v>185820</v>
      </c>
      <c r="T279" s="1" t="s">
        <v>935</v>
      </c>
      <c r="U279" s="1" t="s">
        <v>38</v>
      </c>
      <c r="V279" s="3">
        <v>46261.581944444399</v>
      </c>
      <c r="W279" s="6">
        <f t="shared" si="8"/>
        <v>1</v>
      </c>
      <c r="X279" s="6" t="str">
        <f t="shared" si="9"/>
        <v>Não</v>
      </c>
    </row>
    <row r="280" spans="1:24" ht="15" customHeight="1" x14ac:dyDescent="0.3">
      <c r="A280" s="1" t="s">
        <v>936</v>
      </c>
      <c r="B280" s="1" t="s">
        <v>25</v>
      </c>
      <c r="C280" s="1" t="s">
        <v>896</v>
      </c>
      <c r="D280" s="1" t="s">
        <v>5</v>
      </c>
      <c r="E280" s="3">
        <v>46203.677777777797</v>
      </c>
      <c r="F280" s="3">
        <v>46210.75</v>
      </c>
      <c r="G280" s="3">
        <v>46210.75</v>
      </c>
      <c r="H280" s="1" t="s">
        <v>42</v>
      </c>
      <c r="I280" s="1" t="s">
        <v>937</v>
      </c>
      <c r="J280" s="1" t="s">
        <v>938</v>
      </c>
      <c r="K280" s="1" t="s">
        <v>30</v>
      </c>
      <c r="L280" s="1" t="s">
        <v>31</v>
      </c>
      <c r="M280" s="1" t="s">
        <v>45</v>
      </c>
      <c r="N280" s="4">
        <v>36</v>
      </c>
      <c r="O280" s="1" t="s">
        <v>46</v>
      </c>
      <c r="P280" s="1" t="s">
        <v>47</v>
      </c>
      <c r="Q280" s="1" t="s">
        <v>35</v>
      </c>
      <c r="R280" s="1" t="s">
        <v>36</v>
      </c>
      <c r="S280" s="5">
        <v>3360</v>
      </c>
      <c r="T280" s="1" t="s">
        <v>939</v>
      </c>
      <c r="U280" s="1" t="s">
        <v>38</v>
      </c>
      <c r="V280" s="3">
        <v>46203.716666666704</v>
      </c>
      <c r="W280" s="6">
        <f t="shared" si="8"/>
        <v>2</v>
      </c>
      <c r="X280" s="6" t="str">
        <f t="shared" si="9"/>
        <v>Sim</v>
      </c>
    </row>
    <row r="281" spans="1:24" ht="15" customHeight="1" x14ac:dyDescent="0.3">
      <c r="A281" s="1" t="s">
        <v>940</v>
      </c>
      <c r="B281" s="1" t="s">
        <v>25</v>
      </c>
      <c r="C281" s="1" t="s">
        <v>896</v>
      </c>
      <c r="D281" s="1" t="s">
        <v>5</v>
      </c>
      <c r="E281" s="3">
        <v>46258.453472222202</v>
      </c>
      <c r="F281" s="3">
        <v>46265.583333333299</v>
      </c>
      <c r="G281" s="3">
        <v>46265.583333333299</v>
      </c>
      <c r="H281" s="1" t="s">
        <v>42</v>
      </c>
      <c r="I281" s="1" t="s">
        <v>941</v>
      </c>
      <c r="J281" s="1" t="s">
        <v>942</v>
      </c>
      <c r="K281" s="1" t="s">
        <v>30</v>
      </c>
      <c r="L281" s="1" t="s">
        <v>31</v>
      </c>
      <c r="M281" s="1" t="s">
        <v>680</v>
      </c>
      <c r="N281" s="4">
        <v>36</v>
      </c>
      <c r="O281" s="1" t="s">
        <v>46</v>
      </c>
      <c r="P281" s="1" t="s">
        <v>47</v>
      </c>
      <c r="Q281" s="1" t="s">
        <v>145</v>
      </c>
      <c r="R281" s="1" t="s">
        <v>36</v>
      </c>
      <c r="S281" s="5">
        <v>8640</v>
      </c>
      <c r="T281" s="1" t="s">
        <v>943</v>
      </c>
      <c r="U281" s="1" t="s">
        <v>38</v>
      </c>
      <c r="V281" s="3">
        <v>46258.5534722222</v>
      </c>
      <c r="W281" s="6">
        <f t="shared" si="8"/>
        <v>1</v>
      </c>
      <c r="X281" s="6" t="str">
        <f t="shared" si="9"/>
        <v>Não</v>
      </c>
    </row>
    <row r="282" spans="1:24" ht="15" customHeight="1" x14ac:dyDescent="0.3">
      <c r="A282" s="1" t="s">
        <v>944</v>
      </c>
      <c r="B282" s="1" t="s">
        <v>25</v>
      </c>
      <c r="C282" s="1" t="s">
        <v>896</v>
      </c>
      <c r="D282" s="1" t="s">
        <v>5</v>
      </c>
      <c r="E282" s="3">
        <v>46202.461111111101</v>
      </c>
      <c r="F282" s="3">
        <v>46210.459027777797</v>
      </c>
      <c r="G282" s="3">
        <v>46210.459027777797</v>
      </c>
      <c r="H282" s="1" t="s">
        <v>42</v>
      </c>
      <c r="I282" s="1" t="s">
        <v>945</v>
      </c>
      <c r="J282" s="1" t="s">
        <v>305</v>
      </c>
      <c r="K282" s="1" t="s">
        <v>30</v>
      </c>
      <c r="L282" s="1" t="s">
        <v>31</v>
      </c>
      <c r="M282" s="1" t="s">
        <v>45</v>
      </c>
      <c r="N282" s="4">
        <v>36</v>
      </c>
      <c r="O282" s="1" t="s">
        <v>246</v>
      </c>
      <c r="P282" s="1" t="s">
        <v>47</v>
      </c>
      <c r="Q282" s="1" t="s">
        <v>946</v>
      </c>
      <c r="R282" s="1" t="s">
        <v>36</v>
      </c>
      <c r="S282" s="5">
        <v>83400</v>
      </c>
      <c r="T282" s="1" t="s">
        <v>947</v>
      </c>
      <c r="U282" s="1" t="s">
        <v>38</v>
      </c>
      <c r="V282" s="3">
        <v>46203.426388888904</v>
      </c>
      <c r="W282" s="6">
        <f t="shared" si="8"/>
        <v>9</v>
      </c>
      <c r="X282" s="6" t="str">
        <f t="shared" si="9"/>
        <v>Sim</v>
      </c>
    </row>
    <row r="283" spans="1:24" ht="15" customHeight="1" x14ac:dyDescent="0.3">
      <c r="A283" s="1" t="s">
        <v>948</v>
      </c>
      <c r="B283" s="1" t="s">
        <v>25</v>
      </c>
      <c r="C283" s="1" t="s">
        <v>896</v>
      </c>
      <c r="D283" s="1" t="s">
        <v>5</v>
      </c>
      <c r="E283" s="3">
        <v>46213.351388888899</v>
      </c>
      <c r="F283" s="3">
        <v>46217.4909722222</v>
      </c>
      <c r="G283" s="3">
        <v>46217.4909722222</v>
      </c>
      <c r="H283" s="1" t="s">
        <v>42</v>
      </c>
      <c r="I283" s="1" t="s">
        <v>949</v>
      </c>
      <c r="J283" s="1" t="s">
        <v>503</v>
      </c>
      <c r="K283" s="1" t="s">
        <v>51</v>
      </c>
      <c r="L283" s="1" t="s">
        <v>31</v>
      </c>
      <c r="M283" s="1" t="s">
        <v>62</v>
      </c>
      <c r="N283" s="4">
        <v>36</v>
      </c>
      <c r="O283" s="1" t="s">
        <v>46</v>
      </c>
      <c r="P283" s="1" t="s">
        <v>176</v>
      </c>
      <c r="Q283" s="1" t="s">
        <v>35</v>
      </c>
      <c r="R283" s="1" t="s">
        <v>36</v>
      </c>
      <c r="S283" s="5">
        <v>346800</v>
      </c>
      <c r="T283" s="1" t="s">
        <v>950</v>
      </c>
      <c r="U283" s="1" t="s">
        <v>38</v>
      </c>
      <c r="V283" s="3">
        <v>46217.365277777797</v>
      </c>
      <c r="W283" s="6">
        <f t="shared" si="8"/>
        <v>4</v>
      </c>
      <c r="X283" s="6" t="str">
        <f t="shared" si="9"/>
        <v>Sim</v>
      </c>
    </row>
    <row r="284" spans="1:24" ht="15" customHeight="1" x14ac:dyDescent="0.3">
      <c r="A284" s="1" t="s">
        <v>951</v>
      </c>
      <c r="B284" s="1" t="s">
        <v>25</v>
      </c>
      <c r="C284" s="1" t="s">
        <v>896</v>
      </c>
      <c r="D284" s="1" t="s">
        <v>5</v>
      </c>
      <c r="E284" s="3">
        <v>46258.389583333301</v>
      </c>
      <c r="F284" s="3">
        <v>46267.75</v>
      </c>
      <c r="G284" s="3">
        <v>46267.75</v>
      </c>
      <c r="H284" s="1" t="s">
        <v>42</v>
      </c>
      <c r="I284" s="1" t="s">
        <v>952</v>
      </c>
      <c r="J284" s="1" t="s">
        <v>44</v>
      </c>
      <c r="K284" s="1" t="s">
        <v>30</v>
      </c>
      <c r="L284" s="1" t="s">
        <v>31</v>
      </c>
      <c r="M284" s="1" t="s">
        <v>62</v>
      </c>
      <c r="N284" s="4">
        <v>36</v>
      </c>
      <c r="O284" s="1" t="s">
        <v>46</v>
      </c>
      <c r="P284" s="1" t="s">
        <v>47</v>
      </c>
      <c r="Q284" s="1" t="s">
        <v>35</v>
      </c>
      <c r="R284" s="1" t="s">
        <v>36</v>
      </c>
      <c r="S284" s="5">
        <v>200760</v>
      </c>
      <c r="T284" s="1" t="s">
        <v>953</v>
      </c>
      <c r="U284" s="1" t="s">
        <v>38</v>
      </c>
      <c r="V284" s="3">
        <v>46260.713194444397</v>
      </c>
      <c r="W284" s="6">
        <f t="shared" si="8"/>
        <v>1</v>
      </c>
      <c r="X284" s="6" t="str">
        <f t="shared" si="9"/>
        <v>Não</v>
      </c>
    </row>
    <row r="285" spans="1:24" ht="15" customHeight="1" x14ac:dyDescent="0.3">
      <c r="A285" s="1" t="s">
        <v>954</v>
      </c>
      <c r="B285" s="1" t="s">
        <v>25</v>
      </c>
      <c r="C285" s="1" t="s">
        <v>896</v>
      </c>
      <c r="D285" s="1" t="s">
        <v>5</v>
      </c>
      <c r="E285" s="3">
        <v>46182.493750000001</v>
      </c>
      <c r="F285" s="3">
        <v>46189.583333333299</v>
      </c>
      <c r="G285" s="3">
        <v>46189.583333333299</v>
      </c>
      <c r="H285" s="1" t="s">
        <v>42</v>
      </c>
      <c r="I285" s="1" t="s">
        <v>955</v>
      </c>
      <c r="J285" s="1" t="s">
        <v>898</v>
      </c>
      <c r="K285" s="1" t="s">
        <v>30</v>
      </c>
      <c r="L285" s="1" t="s">
        <v>31</v>
      </c>
      <c r="M285" s="1" t="s">
        <v>45</v>
      </c>
      <c r="N285" s="4">
        <v>36</v>
      </c>
      <c r="O285" s="1" t="s">
        <v>46</v>
      </c>
      <c r="P285" s="1" t="s">
        <v>176</v>
      </c>
      <c r="Q285" s="1" t="s">
        <v>68</v>
      </c>
      <c r="R285" s="1" t="s">
        <v>36</v>
      </c>
      <c r="S285" s="5">
        <v>6540</v>
      </c>
      <c r="T285" s="1" t="s">
        <v>956</v>
      </c>
      <c r="U285" s="1" t="s">
        <v>38</v>
      </c>
      <c r="V285" s="3">
        <v>46182.569444444503</v>
      </c>
      <c r="W285" s="6">
        <f t="shared" si="8"/>
        <v>4</v>
      </c>
      <c r="X285" s="6" t="str">
        <f t="shared" si="9"/>
        <v>Sim</v>
      </c>
    </row>
    <row r="286" spans="1:24" ht="15" customHeight="1" x14ac:dyDescent="0.3">
      <c r="A286" s="1" t="s">
        <v>957</v>
      </c>
      <c r="B286" s="1" t="s">
        <v>25</v>
      </c>
      <c r="C286" s="1" t="s">
        <v>896</v>
      </c>
      <c r="D286" s="1" t="s">
        <v>5</v>
      </c>
      <c r="E286" s="3">
        <v>46199.502083333296</v>
      </c>
      <c r="F286" s="3">
        <v>46212.458333333299</v>
      </c>
      <c r="G286" s="3">
        <v>46212.458333333299</v>
      </c>
      <c r="H286" s="1" t="s">
        <v>42</v>
      </c>
      <c r="I286" s="1" t="s">
        <v>958</v>
      </c>
      <c r="J286" s="1" t="s">
        <v>918</v>
      </c>
      <c r="K286" s="1" t="s">
        <v>30</v>
      </c>
      <c r="L286" s="1" t="s">
        <v>31</v>
      </c>
      <c r="M286" s="1" t="s">
        <v>45</v>
      </c>
      <c r="N286" s="4">
        <v>36</v>
      </c>
      <c r="O286" s="1" t="s">
        <v>46</v>
      </c>
      <c r="P286" s="1" t="s">
        <v>47</v>
      </c>
      <c r="Q286" s="1" t="s">
        <v>35</v>
      </c>
      <c r="R286" s="1" t="s">
        <v>36</v>
      </c>
      <c r="S286" s="5">
        <v>511860</v>
      </c>
      <c r="T286" s="1" t="s">
        <v>959</v>
      </c>
      <c r="U286" s="1" t="s">
        <v>38</v>
      </c>
      <c r="V286" s="3">
        <v>46205.426388888904</v>
      </c>
      <c r="W286" s="6">
        <f t="shared" si="8"/>
        <v>9</v>
      </c>
      <c r="X286" s="6" t="str">
        <f t="shared" si="9"/>
        <v>Sim</v>
      </c>
    </row>
    <row r="287" spans="1:24" ht="15" customHeight="1" x14ac:dyDescent="0.3">
      <c r="A287" s="1" t="s">
        <v>960</v>
      </c>
      <c r="B287" s="1" t="s">
        <v>25</v>
      </c>
      <c r="C287" s="1" t="s">
        <v>896</v>
      </c>
      <c r="D287" s="1" t="s">
        <v>5</v>
      </c>
      <c r="E287" s="3">
        <v>46245.583333333299</v>
      </c>
      <c r="F287" s="3">
        <v>46246.416666666701</v>
      </c>
      <c r="G287" s="3">
        <v>46246.416666666701</v>
      </c>
      <c r="H287" s="1" t="s">
        <v>42</v>
      </c>
      <c r="I287" s="1" t="s">
        <v>961</v>
      </c>
      <c r="J287" s="1" t="s">
        <v>503</v>
      </c>
      <c r="K287" s="1" t="s">
        <v>51</v>
      </c>
      <c r="L287" s="1" t="s">
        <v>31</v>
      </c>
      <c r="M287" s="1" t="s">
        <v>680</v>
      </c>
      <c r="N287" s="4">
        <v>36</v>
      </c>
      <c r="O287" s="1" t="s">
        <v>46</v>
      </c>
      <c r="P287" s="1" t="s">
        <v>176</v>
      </c>
      <c r="Q287" s="1" t="s">
        <v>145</v>
      </c>
      <c r="R287" s="1" t="s">
        <v>36</v>
      </c>
      <c r="S287" s="5">
        <v>69660</v>
      </c>
      <c r="T287" s="1" t="s">
        <v>962</v>
      </c>
      <c r="U287" s="1" t="s">
        <v>38</v>
      </c>
      <c r="V287" s="3">
        <v>46246.389583333301</v>
      </c>
      <c r="W287" s="6">
        <f t="shared" si="8"/>
        <v>4</v>
      </c>
      <c r="X287" s="6" t="str">
        <f t="shared" si="9"/>
        <v>Sim</v>
      </c>
    </row>
    <row r="288" spans="1:24" ht="15" customHeight="1" x14ac:dyDescent="0.3">
      <c r="A288" s="1" t="s">
        <v>963</v>
      </c>
      <c r="B288" s="1" t="s">
        <v>25</v>
      </c>
      <c r="C288" s="1" t="s">
        <v>896</v>
      </c>
      <c r="D288" s="1" t="s">
        <v>5</v>
      </c>
      <c r="E288" s="3">
        <v>46247.521527777797</v>
      </c>
      <c r="F288" s="3">
        <v>46251.597916666702</v>
      </c>
      <c r="G288" s="3">
        <v>46273.417361111096</v>
      </c>
      <c r="H288" s="1" t="s">
        <v>42</v>
      </c>
      <c r="I288" s="1" t="s">
        <v>964</v>
      </c>
      <c r="J288" s="1" t="s">
        <v>965</v>
      </c>
      <c r="K288" s="1" t="s">
        <v>30</v>
      </c>
      <c r="L288" s="1" t="s">
        <v>31</v>
      </c>
      <c r="M288" s="1" t="s">
        <v>32</v>
      </c>
      <c r="N288" s="4">
        <v>36</v>
      </c>
      <c r="O288" s="1" t="s">
        <v>46</v>
      </c>
      <c r="P288" s="1" t="s">
        <v>966</v>
      </c>
      <c r="Q288" s="1" t="s">
        <v>68</v>
      </c>
      <c r="R288" s="1" t="s">
        <v>36</v>
      </c>
      <c r="S288" s="5">
        <v>335820</v>
      </c>
      <c r="T288" s="1" t="s">
        <v>434</v>
      </c>
      <c r="U288" s="1" t="s">
        <v>38</v>
      </c>
      <c r="V288" s="3">
        <v>46251.408333333296</v>
      </c>
      <c r="W288" s="6">
        <f t="shared" si="8"/>
        <v>1</v>
      </c>
      <c r="X288" s="6" t="str">
        <f t="shared" si="9"/>
        <v>Não</v>
      </c>
    </row>
    <row r="289" spans="1:24" ht="15" customHeight="1" x14ac:dyDescent="0.3">
      <c r="A289" s="1" t="s">
        <v>967</v>
      </c>
      <c r="B289" s="1" t="s">
        <v>25</v>
      </c>
      <c r="C289" s="1" t="s">
        <v>896</v>
      </c>
      <c r="D289" s="1" t="s">
        <v>5</v>
      </c>
      <c r="E289" s="3">
        <v>46195.748611111099</v>
      </c>
      <c r="F289" s="3">
        <v>46205.500694444498</v>
      </c>
      <c r="G289" s="3">
        <v>46205.500694444498</v>
      </c>
      <c r="H289" s="1" t="s">
        <v>42</v>
      </c>
      <c r="I289" s="1" t="s">
        <v>968</v>
      </c>
      <c r="J289" s="1" t="s">
        <v>969</v>
      </c>
      <c r="K289" s="1" t="s">
        <v>30</v>
      </c>
      <c r="L289" s="1" t="s">
        <v>31</v>
      </c>
      <c r="M289" s="1" t="s">
        <v>45</v>
      </c>
      <c r="N289" s="4">
        <v>36</v>
      </c>
      <c r="O289" s="1" t="s">
        <v>46</v>
      </c>
      <c r="P289" s="1" t="s">
        <v>47</v>
      </c>
      <c r="Q289" s="1" t="s">
        <v>68</v>
      </c>
      <c r="R289" s="1" t="s">
        <v>36</v>
      </c>
      <c r="S289" s="5">
        <v>235020</v>
      </c>
      <c r="T289" s="1" t="s">
        <v>970</v>
      </c>
      <c r="U289" s="1" t="s">
        <v>38</v>
      </c>
      <c r="V289" s="3">
        <v>46198.46875</v>
      </c>
      <c r="W289" s="6">
        <f t="shared" si="8"/>
        <v>1</v>
      </c>
      <c r="X289" s="6" t="str">
        <f t="shared" si="9"/>
        <v>Não</v>
      </c>
    </row>
    <row r="290" spans="1:24" ht="15" customHeight="1" x14ac:dyDescent="0.3">
      <c r="A290" s="1" t="s">
        <v>971</v>
      </c>
      <c r="B290" s="1" t="s">
        <v>25</v>
      </c>
      <c r="C290" s="1" t="s">
        <v>896</v>
      </c>
      <c r="D290" s="1" t="s">
        <v>5</v>
      </c>
      <c r="E290" s="3">
        <v>46245.472916666702</v>
      </c>
      <c r="F290" s="3">
        <v>46252.583333333299</v>
      </c>
      <c r="G290" s="3">
        <v>46252.583333333299</v>
      </c>
      <c r="H290" s="1" t="s">
        <v>42</v>
      </c>
      <c r="I290" s="1" t="s">
        <v>972</v>
      </c>
      <c r="J290" s="1" t="s">
        <v>898</v>
      </c>
      <c r="K290" s="1" t="s">
        <v>51</v>
      </c>
      <c r="L290" s="1" t="s">
        <v>31</v>
      </c>
      <c r="M290" s="1" t="s">
        <v>680</v>
      </c>
      <c r="N290" s="4">
        <v>36</v>
      </c>
      <c r="O290" s="1" t="s">
        <v>46</v>
      </c>
      <c r="P290" s="1" t="s">
        <v>176</v>
      </c>
      <c r="Q290" s="1" t="s">
        <v>145</v>
      </c>
      <c r="R290" s="1" t="s">
        <v>36</v>
      </c>
      <c r="S290" s="5">
        <v>7980</v>
      </c>
      <c r="T290" s="1" t="s">
        <v>973</v>
      </c>
      <c r="U290" s="1" t="s">
        <v>38</v>
      </c>
      <c r="V290" s="3">
        <v>46245.565277777801</v>
      </c>
      <c r="W290" s="6">
        <f t="shared" si="8"/>
        <v>4</v>
      </c>
      <c r="X290" s="6" t="str">
        <f t="shared" si="9"/>
        <v>Sim</v>
      </c>
    </row>
    <row r="291" spans="1:24" ht="15" customHeight="1" x14ac:dyDescent="0.3">
      <c r="A291" s="1" t="s">
        <v>974</v>
      </c>
      <c r="B291" s="1" t="s">
        <v>25</v>
      </c>
      <c r="C291" s="1" t="s">
        <v>896</v>
      </c>
      <c r="D291" s="1" t="s">
        <v>5</v>
      </c>
      <c r="E291" s="3">
        <v>46235.715277777803</v>
      </c>
      <c r="F291" s="3">
        <v>46244.459027777797</v>
      </c>
      <c r="G291" s="3">
        <v>46244.459027777797</v>
      </c>
      <c r="H291" s="1" t="s">
        <v>42</v>
      </c>
      <c r="I291" s="1" t="s">
        <v>975</v>
      </c>
      <c r="J291" s="1" t="s">
        <v>976</v>
      </c>
      <c r="K291" s="1" t="s">
        <v>30</v>
      </c>
      <c r="L291" s="1" t="s">
        <v>31</v>
      </c>
      <c r="M291" s="1" t="s">
        <v>45</v>
      </c>
      <c r="N291" s="4">
        <v>36</v>
      </c>
      <c r="O291" s="1" t="s">
        <v>46</v>
      </c>
      <c r="P291" s="1" t="s">
        <v>977</v>
      </c>
      <c r="Q291" s="1" t="s">
        <v>35</v>
      </c>
      <c r="R291" s="1" t="s">
        <v>36</v>
      </c>
      <c r="S291" s="5">
        <v>147780</v>
      </c>
      <c r="T291" s="1" t="s">
        <v>978</v>
      </c>
      <c r="U291" s="1" t="s">
        <v>120</v>
      </c>
      <c r="V291" s="3">
        <v>46237.425694444399</v>
      </c>
      <c r="W291" s="6">
        <f t="shared" si="8"/>
        <v>1</v>
      </c>
      <c r="X291" s="6" t="str">
        <f t="shared" si="9"/>
        <v>Não</v>
      </c>
    </row>
    <row r="292" spans="1:24" ht="15" customHeight="1" x14ac:dyDescent="0.3">
      <c r="A292" s="1" t="s">
        <v>979</v>
      </c>
      <c r="B292" s="1" t="s">
        <v>25</v>
      </c>
      <c r="C292" s="1" t="s">
        <v>896</v>
      </c>
      <c r="D292" s="1" t="s">
        <v>5</v>
      </c>
      <c r="E292" s="3">
        <v>46234.692361111098</v>
      </c>
      <c r="F292" s="3">
        <v>46237.360416666699</v>
      </c>
      <c r="G292" s="3">
        <v>46237.360416666699</v>
      </c>
      <c r="H292" s="1" t="s">
        <v>42</v>
      </c>
      <c r="I292" s="1" t="s">
        <v>980</v>
      </c>
      <c r="J292" s="1" t="s">
        <v>922</v>
      </c>
      <c r="K292" s="1" t="s">
        <v>30</v>
      </c>
      <c r="L292" s="1" t="s">
        <v>31</v>
      </c>
      <c r="M292" s="1" t="s">
        <v>143</v>
      </c>
      <c r="N292" s="4">
        <v>36</v>
      </c>
      <c r="O292" s="1" t="s">
        <v>46</v>
      </c>
      <c r="P292" s="1" t="s">
        <v>176</v>
      </c>
      <c r="Q292" s="1" t="s">
        <v>68</v>
      </c>
      <c r="R292" s="1" t="s">
        <v>36</v>
      </c>
      <c r="S292" s="5">
        <v>79860</v>
      </c>
      <c r="T292" s="1" t="s">
        <v>981</v>
      </c>
      <c r="U292" s="1" t="s">
        <v>38</v>
      </c>
      <c r="V292" s="3">
        <v>46235.616666666698</v>
      </c>
      <c r="W292" s="6">
        <f t="shared" si="8"/>
        <v>4</v>
      </c>
      <c r="X292" s="6" t="str">
        <f t="shared" si="9"/>
        <v>Sim</v>
      </c>
    </row>
    <row r="293" spans="1:24" ht="15" customHeight="1" x14ac:dyDescent="0.3">
      <c r="A293" s="1" t="s">
        <v>982</v>
      </c>
      <c r="B293" s="1" t="s">
        <v>25</v>
      </c>
      <c r="C293" s="1" t="s">
        <v>896</v>
      </c>
      <c r="D293" s="1" t="s">
        <v>5</v>
      </c>
      <c r="E293" s="3">
        <v>46218.465277777803</v>
      </c>
      <c r="F293" s="3">
        <v>46225.542361111096</v>
      </c>
      <c r="G293" s="3">
        <v>46225.542361111096</v>
      </c>
      <c r="H293" s="1" t="s">
        <v>42</v>
      </c>
      <c r="I293" s="1" t="s">
        <v>983</v>
      </c>
      <c r="J293" s="1" t="s">
        <v>938</v>
      </c>
      <c r="K293" s="1" t="s">
        <v>30</v>
      </c>
      <c r="L293" s="1" t="s">
        <v>31</v>
      </c>
      <c r="M293" s="1" t="s">
        <v>680</v>
      </c>
      <c r="N293" s="4">
        <v>36</v>
      </c>
      <c r="O293" s="1" t="s">
        <v>46</v>
      </c>
      <c r="P293" s="1" t="s">
        <v>47</v>
      </c>
      <c r="Q293" s="1" t="s">
        <v>145</v>
      </c>
      <c r="R293" s="1" t="s">
        <v>36</v>
      </c>
      <c r="S293" s="5">
        <v>3600</v>
      </c>
      <c r="T293" s="1" t="s">
        <v>984</v>
      </c>
      <c r="U293" s="1" t="s">
        <v>38</v>
      </c>
      <c r="V293" s="3">
        <v>46218.506944444503</v>
      </c>
      <c r="W293" s="6">
        <f t="shared" si="8"/>
        <v>2</v>
      </c>
      <c r="X293" s="6" t="str">
        <f t="shared" si="9"/>
        <v>Sim</v>
      </c>
    </row>
    <row r="294" spans="1:24" ht="15" customHeight="1" x14ac:dyDescent="0.3">
      <c r="A294" s="1" t="s">
        <v>985</v>
      </c>
      <c r="B294" s="1" t="s">
        <v>25</v>
      </c>
      <c r="C294" s="1" t="s">
        <v>896</v>
      </c>
      <c r="D294" s="1" t="s">
        <v>5</v>
      </c>
      <c r="E294" s="3">
        <v>46175.621527777803</v>
      </c>
      <c r="F294" s="3">
        <v>46183.458333333299</v>
      </c>
      <c r="G294" s="3">
        <v>46183.458333333299</v>
      </c>
      <c r="H294" s="1" t="s">
        <v>42</v>
      </c>
      <c r="I294" s="1" t="s">
        <v>986</v>
      </c>
      <c r="J294" s="1" t="s">
        <v>164</v>
      </c>
      <c r="K294" s="1" t="s">
        <v>30</v>
      </c>
      <c r="L294" s="1" t="s">
        <v>31</v>
      </c>
      <c r="M294" s="1" t="s">
        <v>45</v>
      </c>
      <c r="N294" s="4">
        <v>36</v>
      </c>
      <c r="O294" s="1" t="s">
        <v>46</v>
      </c>
      <c r="P294" s="1" t="s">
        <v>47</v>
      </c>
      <c r="Q294" s="1" t="s">
        <v>68</v>
      </c>
      <c r="R294" s="1" t="s">
        <v>36</v>
      </c>
      <c r="S294" s="5">
        <v>70260</v>
      </c>
      <c r="T294" s="1" t="s">
        <v>987</v>
      </c>
      <c r="U294" s="1" t="s">
        <v>38</v>
      </c>
      <c r="V294" s="3">
        <v>46176.434722222199</v>
      </c>
      <c r="W294" s="6">
        <f t="shared" si="8"/>
        <v>1</v>
      </c>
      <c r="X294" s="6" t="str">
        <f t="shared" si="9"/>
        <v>Não</v>
      </c>
    </row>
    <row r="295" spans="1:24" ht="15" customHeight="1" x14ac:dyDescent="0.3">
      <c r="A295" s="1" t="s">
        <v>988</v>
      </c>
      <c r="B295" s="1" t="s">
        <v>25</v>
      </c>
      <c r="C295" s="1" t="s">
        <v>896</v>
      </c>
      <c r="D295" s="1" t="s">
        <v>5</v>
      </c>
      <c r="E295" s="3">
        <v>46181.616666666698</v>
      </c>
      <c r="F295" s="3">
        <v>46189.375694444498</v>
      </c>
      <c r="G295" s="3">
        <v>46189.375694444498</v>
      </c>
      <c r="H295" s="1" t="s">
        <v>42</v>
      </c>
      <c r="I295" s="1" t="s">
        <v>989</v>
      </c>
      <c r="J295" s="1" t="s">
        <v>918</v>
      </c>
      <c r="K295" s="1" t="s">
        <v>30</v>
      </c>
      <c r="L295" s="1" t="s">
        <v>31</v>
      </c>
      <c r="M295" s="1" t="s">
        <v>45</v>
      </c>
      <c r="N295" s="4">
        <v>36</v>
      </c>
      <c r="O295" s="1" t="s">
        <v>46</v>
      </c>
      <c r="P295" s="1" t="s">
        <v>47</v>
      </c>
      <c r="Q295" s="1" t="s">
        <v>35</v>
      </c>
      <c r="R295" s="1" t="s">
        <v>36</v>
      </c>
      <c r="S295" s="5">
        <v>63900</v>
      </c>
      <c r="T295" s="1" t="s">
        <v>990</v>
      </c>
      <c r="U295" s="1" t="s">
        <v>38</v>
      </c>
      <c r="V295" s="3">
        <v>46182.356249999997</v>
      </c>
      <c r="W295" s="6">
        <f t="shared" si="8"/>
        <v>9</v>
      </c>
      <c r="X295" s="6" t="str">
        <f t="shared" si="9"/>
        <v>Sim</v>
      </c>
    </row>
    <row r="296" spans="1:24" ht="15" customHeight="1" x14ac:dyDescent="0.3">
      <c r="A296" s="1" t="s">
        <v>991</v>
      </c>
      <c r="B296" s="1" t="s">
        <v>25</v>
      </c>
      <c r="C296" s="1" t="s">
        <v>896</v>
      </c>
      <c r="D296" s="1" t="s">
        <v>5</v>
      </c>
      <c r="E296" s="3">
        <v>46192.432638888902</v>
      </c>
      <c r="F296" s="3">
        <v>46192.496527777803</v>
      </c>
      <c r="G296" s="3">
        <v>46192.496527777803</v>
      </c>
      <c r="H296" s="1" t="s">
        <v>42</v>
      </c>
      <c r="I296" s="1" t="s">
        <v>992</v>
      </c>
      <c r="J296" s="1" t="s">
        <v>922</v>
      </c>
      <c r="K296" s="1" t="s">
        <v>51</v>
      </c>
      <c r="L296" s="1" t="s">
        <v>31</v>
      </c>
      <c r="M296" s="1" t="s">
        <v>45</v>
      </c>
      <c r="N296" s="4">
        <v>36</v>
      </c>
      <c r="O296" s="1" t="s">
        <v>46</v>
      </c>
      <c r="P296" s="1" t="s">
        <v>176</v>
      </c>
      <c r="Q296" s="1" t="s">
        <v>68</v>
      </c>
      <c r="R296" s="1" t="s">
        <v>36</v>
      </c>
      <c r="S296" s="5">
        <v>2640</v>
      </c>
      <c r="T296" s="1" t="s">
        <v>993</v>
      </c>
      <c r="U296" s="1" t="s">
        <v>38</v>
      </c>
      <c r="V296" s="3">
        <v>46192.463194444397</v>
      </c>
      <c r="W296" s="6">
        <f t="shared" si="8"/>
        <v>4</v>
      </c>
      <c r="X296" s="6" t="str">
        <f t="shared" si="9"/>
        <v>Sim</v>
      </c>
    </row>
    <row r="297" spans="1:24" ht="15" customHeight="1" x14ac:dyDescent="0.3">
      <c r="A297" s="1" t="s">
        <v>994</v>
      </c>
      <c r="B297" s="1" t="s">
        <v>25</v>
      </c>
      <c r="C297" s="1" t="s">
        <v>896</v>
      </c>
      <c r="D297" s="1" t="s">
        <v>5</v>
      </c>
      <c r="E297" s="3">
        <v>46181.641666666699</v>
      </c>
      <c r="F297" s="3">
        <v>46189.459027777797</v>
      </c>
      <c r="G297" s="3">
        <v>46189.459027777797</v>
      </c>
      <c r="H297" s="1" t="s">
        <v>42</v>
      </c>
      <c r="I297" s="1" t="s">
        <v>995</v>
      </c>
      <c r="J297" s="1" t="s">
        <v>305</v>
      </c>
      <c r="K297" s="1" t="s">
        <v>51</v>
      </c>
      <c r="L297" s="1" t="s">
        <v>31</v>
      </c>
      <c r="M297" s="1" t="s">
        <v>45</v>
      </c>
      <c r="N297" s="4">
        <v>36</v>
      </c>
      <c r="O297" s="1" t="s">
        <v>46</v>
      </c>
      <c r="P297" s="1" t="s">
        <v>47</v>
      </c>
      <c r="Q297" s="1" t="s">
        <v>68</v>
      </c>
      <c r="R297" s="1" t="s">
        <v>36</v>
      </c>
      <c r="S297" s="5">
        <v>68520</v>
      </c>
      <c r="T297" s="1" t="s">
        <v>996</v>
      </c>
      <c r="U297" s="1" t="s">
        <v>38</v>
      </c>
      <c r="V297" s="3">
        <v>46182.434722222199</v>
      </c>
      <c r="W297" s="6">
        <f t="shared" si="8"/>
        <v>9</v>
      </c>
      <c r="X297" s="6" t="str">
        <f t="shared" si="9"/>
        <v>Sim</v>
      </c>
    </row>
    <row r="298" spans="1:24" ht="15" customHeight="1" x14ac:dyDescent="0.3">
      <c r="A298" s="1" t="s">
        <v>997</v>
      </c>
      <c r="B298" s="1" t="s">
        <v>25</v>
      </c>
      <c r="C298" s="1" t="s">
        <v>896</v>
      </c>
      <c r="D298" s="1" t="s">
        <v>5</v>
      </c>
      <c r="E298" s="3">
        <v>46179.516666666699</v>
      </c>
      <c r="F298" s="3">
        <v>46183.702777777798</v>
      </c>
      <c r="G298" s="3">
        <v>46183.702777777798</v>
      </c>
      <c r="H298" s="1" t="s">
        <v>42</v>
      </c>
      <c r="I298" s="1" t="s">
        <v>998</v>
      </c>
      <c r="J298" s="1" t="s">
        <v>269</v>
      </c>
      <c r="K298" s="1" t="s">
        <v>51</v>
      </c>
      <c r="L298" s="1" t="s">
        <v>31</v>
      </c>
      <c r="M298" s="1" t="s">
        <v>45</v>
      </c>
      <c r="N298" s="4">
        <v>36</v>
      </c>
      <c r="O298" s="1" t="s">
        <v>46</v>
      </c>
      <c r="P298" s="1" t="s">
        <v>999</v>
      </c>
      <c r="Q298" s="1" t="s">
        <v>35</v>
      </c>
      <c r="R298" s="1" t="s">
        <v>36</v>
      </c>
      <c r="S298" s="5">
        <v>358560</v>
      </c>
      <c r="T298" s="1" t="s">
        <v>1000</v>
      </c>
      <c r="U298" s="1" t="s">
        <v>120</v>
      </c>
      <c r="V298" s="3">
        <v>46183.666666666701</v>
      </c>
      <c r="W298" s="6">
        <f t="shared" si="8"/>
        <v>1</v>
      </c>
      <c r="X298" s="6" t="str">
        <f t="shared" si="9"/>
        <v>Não</v>
      </c>
    </row>
    <row r="299" spans="1:24" ht="15" customHeight="1" x14ac:dyDescent="0.3">
      <c r="A299" s="1" t="s">
        <v>272</v>
      </c>
      <c r="B299" s="1" t="s">
        <v>25</v>
      </c>
      <c r="C299" s="1" t="s">
        <v>896</v>
      </c>
      <c r="D299" s="1" t="s">
        <v>5</v>
      </c>
      <c r="E299" s="3">
        <v>46176.603472222203</v>
      </c>
      <c r="F299" s="3">
        <v>46188.583333333299</v>
      </c>
      <c r="G299" s="3">
        <v>46188.583333333299</v>
      </c>
      <c r="H299" s="1" t="s">
        <v>42</v>
      </c>
      <c r="I299" s="1" t="s">
        <v>1001</v>
      </c>
      <c r="J299" s="1" t="s">
        <v>918</v>
      </c>
      <c r="K299" s="1" t="s">
        <v>51</v>
      </c>
      <c r="L299" s="1" t="s">
        <v>31</v>
      </c>
      <c r="M299" s="1" t="s">
        <v>45</v>
      </c>
      <c r="N299" s="4">
        <v>36</v>
      </c>
      <c r="O299" s="1" t="s">
        <v>46</v>
      </c>
      <c r="P299" s="1" t="s">
        <v>47</v>
      </c>
      <c r="Q299" s="1" t="s">
        <v>35</v>
      </c>
      <c r="R299" s="1" t="s">
        <v>36</v>
      </c>
      <c r="S299" s="5">
        <v>428640</v>
      </c>
      <c r="T299" s="1" t="s">
        <v>1002</v>
      </c>
      <c r="U299" s="1" t="s">
        <v>38</v>
      </c>
      <c r="V299" s="3">
        <v>46181.564583333296</v>
      </c>
      <c r="W299" s="6">
        <f t="shared" si="8"/>
        <v>9</v>
      </c>
      <c r="X299" s="6" t="str">
        <f t="shared" si="9"/>
        <v>Sim</v>
      </c>
    </row>
    <row r="300" spans="1:24" ht="15" customHeight="1" x14ac:dyDescent="0.3">
      <c r="A300" s="1" t="s">
        <v>1003</v>
      </c>
      <c r="B300" s="1" t="s">
        <v>25</v>
      </c>
      <c r="C300" s="1" t="s">
        <v>896</v>
      </c>
      <c r="D300" s="1" t="s">
        <v>5</v>
      </c>
      <c r="E300" s="3">
        <v>46175.570138888899</v>
      </c>
      <c r="F300" s="3">
        <v>46188.625</v>
      </c>
      <c r="G300" s="3">
        <v>46188.625</v>
      </c>
      <c r="H300" s="1" t="s">
        <v>42</v>
      </c>
      <c r="I300" s="1" t="s">
        <v>1004</v>
      </c>
      <c r="J300" s="1" t="s">
        <v>748</v>
      </c>
      <c r="K300" s="1" t="s">
        <v>30</v>
      </c>
      <c r="L300" s="1" t="s">
        <v>31</v>
      </c>
      <c r="M300" s="1" t="s">
        <v>45</v>
      </c>
      <c r="N300" s="4">
        <v>36</v>
      </c>
      <c r="O300" s="1" t="s">
        <v>46</v>
      </c>
      <c r="P300" s="1" t="s">
        <v>47</v>
      </c>
      <c r="Q300" s="1" t="s">
        <v>35</v>
      </c>
      <c r="R300" s="1" t="s">
        <v>36</v>
      </c>
      <c r="S300" s="5">
        <v>521520</v>
      </c>
      <c r="T300" s="1" t="s">
        <v>1005</v>
      </c>
      <c r="U300" s="1" t="s">
        <v>38</v>
      </c>
      <c r="V300" s="3">
        <v>46181.606249999997</v>
      </c>
      <c r="W300" s="6">
        <f t="shared" si="8"/>
        <v>1</v>
      </c>
      <c r="X300" s="6" t="str">
        <f t="shared" si="9"/>
        <v>Não</v>
      </c>
    </row>
    <row r="301" spans="1:24" ht="15" customHeight="1" x14ac:dyDescent="0.3">
      <c r="A301" s="1" t="s">
        <v>1006</v>
      </c>
      <c r="B301" s="1" t="s">
        <v>25</v>
      </c>
      <c r="C301" s="1" t="s">
        <v>896</v>
      </c>
      <c r="D301" s="1" t="s">
        <v>5</v>
      </c>
      <c r="E301" s="3">
        <v>46196.578472222202</v>
      </c>
      <c r="F301" s="3">
        <v>46203.625</v>
      </c>
      <c r="G301" s="3">
        <v>46203.625</v>
      </c>
      <c r="H301" s="1" t="s">
        <v>42</v>
      </c>
      <c r="I301" s="1" t="s">
        <v>1007</v>
      </c>
      <c r="J301" s="1" t="s">
        <v>918</v>
      </c>
      <c r="K301" s="1" t="s">
        <v>30</v>
      </c>
      <c r="L301" s="1" t="s">
        <v>31</v>
      </c>
      <c r="M301" s="1" t="s">
        <v>45</v>
      </c>
      <c r="N301" s="4">
        <v>36</v>
      </c>
      <c r="O301" s="1" t="s">
        <v>46</v>
      </c>
      <c r="P301" s="1" t="s">
        <v>47</v>
      </c>
      <c r="Q301" s="1" t="s">
        <v>35</v>
      </c>
      <c r="R301" s="1" t="s">
        <v>36</v>
      </c>
      <c r="S301" s="5">
        <v>2700</v>
      </c>
      <c r="T301" s="1" t="s">
        <v>1008</v>
      </c>
      <c r="U301" s="1" t="s">
        <v>38</v>
      </c>
      <c r="V301" s="3">
        <v>46196.609722222202</v>
      </c>
      <c r="W301" s="6">
        <f t="shared" si="8"/>
        <v>9</v>
      </c>
      <c r="X301" s="6" t="str">
        <f t="shared" si="9"/>
        <v>Sim</v>
      </c>
    </row>
    <row r="302" spans="1:24" ht="15" customHeight="1" x14ac:dyDescent="0.3">
      <c r="A302" s="1" t="s">
        <v>1009</v>
      </c>
      <c r="B302" s="1" t="s">
        <v>25</v>
      </c>
      <c r="C302" s="1" t="s">
        <v>896</v>
      </c>
      <c r="D302" s="1" t="s">
        <v>5</v>
      </c>
      <c r="E302" s="3">
        <v>46183.35</v>
      </c>
      <c r="F302" s="3">
        <v>46195.584027777797</v>
      </c>
      <c r="G302" s="3">
        <v>46195.584027777797</v>
      </c>
      <c r="H302" s="1" t="s">
        <v>42</v>
      </c>
      <c r="I302" s="1" t="s">
        <v>1010</v>
      </c>
      <c r="J302" s="1" t="s">
        <v>305</v>
      </c>
      <c r="K302" s="1" t="s">
        <v>30</v>
      </c>
      <c r="L302" s="1" t="s">
        <v>31</v>
      </c>
      <c r="M302" s="1" t="s">
        <v>45</v>
      </c>
      <c r="N302" s="4">
        <v>36</v>
      </c>
      <c r="O302" s="1" t="s">
        <v>46</v>
      </c>
      <c r="P302" s="1" t="s">
        <v>47</v>
      </c>
      <c r="Q302" s="1" t="s">
        <v>68</v>
      </c>
      <c r="R302" s="1" t="s">
        <v>36</v>
      </c>
      <c r="S302" s="5">
        <v>452160</v>
      </c>
      <c r="T302" s="1" t="s">
        <v>1011</v>
      </c>
      <c r="U302" s="1" t="s">
        <v>38</v>
      </c>
      <c r="V302" s="3">
        <v>46188.583333333299</v>
      </c>
      <c r="W302" s="6">
        <f t="shared" si="8"/>
        <v>9</v>
      </c>
      <c r="X302" s="6" t="str">
        <f t="shared" si="9"/>
        <v>Sim</v>
      </c>
    </row>
    <row r="303" spans="1:24" ht="15" customHeight="1" x14ac:dyDescent="0.3">
      <c r="A303" s="1" t="s">
        <v>1012</v>
      </c>
      <c r="B303" s="1" t="s">
        <v>25</v>
      </c>
      <c r="C303" s="1" t="s">
        <v>896</v>
      </c>
      <c r="D303" s="1" t="s">
        <v>5</v>
      </c>
      <c r="E303" s="3">
        <v>46176.738194444399</v>
      </c>
      <c r="F303" s="3">
        <v>46190.458333333299</v>
      </c>
      <c r="G303" s="3">
        <v>46190.458333333299</v>
      </c>
      <c r="H303" s="1" t="s">
        <v>42</v>
      </c>
      <c r="I303" s="1" t="s">
        <v>1013</v>
      </c>
      <c r="J303" s="1" t="s">
        <v>901</v>
      </c>
      <c r="K303" s="1" t="s">
        <v>51</v>
      </c>
      <c r="L303" s="1" t="s">
        <v>31</v>
      </c>
      <c r="M303" s="1" t="s">
        <v>45</v>
      </c>
      <c r="N303" s="4">
        <v>36</v>
      </c>
      <c r="O303" s="1" t="s">
        <v>46</v>
      </c>
      <c r="P303" s="1" t="s">
        <v>47</v>
      </c>
      <c r="Q303" s="1" t="s">
        <v>68</v>
      </c>
      <c r="R303" s="1" t="s">
        <v>36</v>
      </c>
      <c r="S303" s="5">
        <v>578700</v>
      </c>
      <c r="T303" s="1" t="s">
        <v>1014</v>
      </c>
      <c r="U303" s="1" t="s">
        <v>38</v>
      </c>
      <c r="V303" s="3">
        <v>46183.436111111099</v>
      </c>
      <c r="W303" s="6">
        <f t="shared" si="8"/>
        <v>2</v>
      </c>
      <c r="X303" s="6" t="str">
        <f t="shared" si="9"/>
        <v>Sim</v>
      </c>
    </row>
    <row r="304" spans="1:24" ht="15" customHeight="1" x14ac:dyDescent="0.3">
      <c r="A304" s="1" t="s">
        <v>1015</v>
      </c>
      <c r="B304" s="1" t="s">
        <v>25</v>
      </c>
      <c r="C304" s="1" t="s">
        <v>896</v>
      </c>
      <c r="D304" s="1" t="s">
        <v>5</v>
      </c>
      <c r="E304" s="3">
        <v>46191.738194444399</v>
      </c>
      <c r="F304" s="3">
        <v>46199.583333333299</v>
      </c>
      <c r="G304" s="3">
        <v>46199.583333333299</v>
      </c>
      <c r="H304" s="1" t="s">
        <v>42</v>
      </c>
      <c r="I304" s="1" t="s">
        <v>1016</v>
      </c>
      <c r="J304" s="1" t="s">
        <v>305</v>
      </c>
      <c r="K304" s="1" t="s">
        <v>30</v>
      </c>
      <c r="L304" s="1" t="s">
        <v>31</v>
      </c>
      <c r="M304" s="1" t="s">
        <v>45</v>
      </c>
      <c r="N304" s="4">
        <v>36</v>
      </c>
      <c r="O304" s="1" t="s">
        <v>46</v>
      </c>
      <c r="P304" s="1" t="s">
        <v>47</v>
      </c>
      <c r="Q304" s="1" t="s">
        <v>68</v>
      </c>
      <c r="R304" s="1" t="s">
        <v>36</v>
      </c>
      <c r="S304" s="5">
        <v>71520</v>
      </c>
      <c r="T304" s="1" t="s">
        <v>1017</v>
      </c>
      <c r="U304" s="1" t="s">
        <v>38</v>
      </c>
      <c r="V304" s="3">
        <v>46192.565972222197</v>
      </c>
      <c r="W304" s="6">
        <f t="shared" si="8"/>
        <v>9</v>
      </c>
      <c r="X304" s="6" t="str">
        <f t="shared" si="9"/>
        <v>Sim</v>
      </c>
    </row>
    <row r="305" spans="1:24" ht="15" customHeight="1" x14ac:dyDescent="0.3">
      <c r="A305" s="1" t="s">
        <v>1018</v>
      </c>
      <c r="B305" s="1" t="s">
        <v>25</v>
      </c>
      <c r="C305" s="1" t="s">
        <v>896</v>
      </c>
      <c r="D305" s="1" t="s">
        <v>5</v>
      </c>
      <c r="E305" s="3">
        <v>46189.602083333302</v>
      </c>
      <c r="F305" s="3">
        <v>46197.625694444498</v>
      </c>
      <c r="G305" s="3">
        <v>46197.625694444498</v>
      </c>
      <c r="H305" s="1" t="s">
        <v>42</v>
      </c>
      <c r="I305" s="1" t="s">
        <v>1019</v>
      </c>
      <c r="J305" s="1" t="s">
        <v>214</v>
      </c>
      <c r="K305" s="1" t="s">
        <v>30</v>
      </c>
      <c r="L305" s="1" t="s">
        <v>31</v>
      </c>
      <c r="M305" s="1" t="s">
        <v>45</v>
      </c>
      <c r="N305" s="4">
        <v>36</v>
      </c>
      <c r="O305" s="1" t="s">
        <v>46</v>
      </c>
      <c r="P305" s="1" t="s">
        <v>47</v>
      </c>
      <c r="Q305" s="1" t="s">
        <v>88</v>
      </c>
      <c r="R305" s="1" t="s">
        <v>36</v>
      </c>
      <c r="S305" s="5">
        <v>87720</v>
      </c>
      <c r="T305" s="1" t="s">
        <v>1020</v>
      </c>
      <c r="U305" s="1" t="s">
        <v>38</v>
      </c>
      <c r="V305" s="3">
        <v>46190.617361111101</v>
      </c>
      <c r="W305" s="6">
        <f t="shared" si="8"/>
        <v>1</v>
      </c>
      <c r="X305" s="6" t="str">
        <f t="shared" si="9"/>
        <v>Não</v>
      </c>
    </row>
    <row r="306" spans="1:24" ht="15" customHeight="1" x14ac:dyDescent="0.3">
      <c r="A306" s="1" t="s">
        <v>1021</v>
      </c>
      <c r="B306" s="1" t="s">
        <v>25</v>
      </c>
      <c r="C306" s="1" t="s">
        <v>896</v>
      </c>
      <c r="D306" s="1" t="s">
        <v>5</v>
      </c>
      <c r="E306" s="3">
        <v>46183.576388888898</v>
      </c>
      <c r="F306" s="3">
        <v>46190.625</v>
      </c>
      <c r="G306" s="3">
        <v>46190.625</v>
      </c>
      <c r="H306" s="1" t="s">
        <v>42</v>
      </c>
      <c r="I306" s="1" t="s">
        <v>1022</v>
      </c>
      <c r="J306" s="1" t="s">
        <v>1023</v>
      </c>
      <c r="K306" s="1" t="s">
        <v>51</v>
      </c>
      <c r="L306" s="1" t="s">
        <v>31</v>
      </c>
      <c r="M306" s="1" t="s">
        <v>45</v>
      </c>
      <c r="N306" s="4">
        <v>36</v>
      </c>
      <c r="O306" s="1" t="s">
        <v>46</v>
      </c>
      <c r="P306" s="1" t="s">
        <v>176</v>
      </c>
      <c r="Q306" s="1" t="s">
        <v>68</v>
      </c>
      <c r="R306" s="1" t="s">
        <v>36</v>
      </c>
      <c r="S306" s="5">
        <v>2880</v>
      </c>
      <c r="T306" s="1" t="s">
        <v>1024</v>
      </c>
      <c r="U306" s="1" t="s">
        <v>38</v>
      </c>
      <c r="V306" s="3">
        <v>46183.609722222202</v>
      </c>
      <c r="W306" s="6">
        <f t="shared" si="8"/>
        <v>1</v>
      </c>
      <c r="X306" s="6" t="str">
        <f t="shared" si="9"/>
        <v>Não</v>
      </c>
    </row>
    <row r="307" spans="1:24" ht="15" customHeight="1" x14ac:dyDescent="0.3">
      <c r="A307" s="1" t="s">
        <v>1025</v>
      </c>
      <c r="B307" s="1" t="s">
        <v>25</v>
      </c>
      <c r="C307" s="1" t="s">
        <v>896</v>
      </c>
      <c r="D307" s="1" t="s">
        <v>5</v>
      </c>
      <c r="E307" s="3">
        <v>46191.672916666699</v>
      </c>
      <c r="F307" s="3">
        <v>46199.583333333299</v>
      </c>
      <c r="G307" s="3">
        <v>46199.583333333299</v>
      </c>
      <c r="H307" s="1" t="s">
        <v>42</v>
      </c>
      <c r="I307" s="1" t="s">
        <v>1026</v>
      </c>
      <c r="J307" s="1" t="s">
        <v>1027</v>
      </c>
      <c r="K307" s="1" t="s">
        <v>30</v>
      </c>
      <c r="L307" s="1" t="s">
        <v>31</v>
      </c>
      <c r="M307" s="1" t="s">
        <v>45</v>
      </c>
      <c r="N307" s="4">
        <v>36</v>
      </c>
      <c r="O307" s="1" t="s">
        <v>46</v>
      </c>
      <c r="P307" s="1" t="s">
        <v>47</v>
      </c>
      <c r="Q307" s="1" t="s">
        <v>88</v>
      </c>
      <c r="R307" s="1" t="s">
        <v>36</v>
      </c>
      <c r="S307" s="5">
        <v>77280</v>
      </c>
      <c r="T307" s="1" t="s">
        <v>1028</v>
      </c>
      <c r="U307" s="1" t="s">
        <v>38</v>
      </c>
      <c r="V307" s="3">
        <v>46192.567361111098</v>
      </c>
      <c r="W307" s="6">
        <f t="shared" si="8"/>
        <v>2</v>
      </c>
      <c r="X307" s="6" t="str">
        <f t="shared" si="9"/>
        <v>Sim</v>
      </c>
    </row>
    <row r="308" spans="1:24" ht="15" customHeight="1" x14ac:dyDescent="0.3">
      <c r="A308" s="1" t="s">
        <v>1029</v>
      </c>
      <c r="B308" s="1" t="s">
        <v>25</v>
      </c>
      <c r="C308" s="1" t="s">
        <v>896</v>
      </c>
      <c r="D308" s="1" t="s">
        <v>5</v>
      </c>
      <c r="E308" s="3">
        <v>46260.384722222203</v>
      </c>
      <c r="F308" s="3">
        <v>46265.461111111101</v>
      </c>
      <c r="G308" s="3">
        <v>46265.461111111101</v>
      </c>
      <c r="H308" s="1" t="s">
        <v>42</v>
      </c>
      <c r="I308" s="1" t="s">
        <v>1030</v>
      </c>
      <c r="J308" s="1" t="s">
        <v>1031</v>
      </c>
      <c r="K308" s="1" t="s">
        <v>30</v>
      </c>
      <c r="L308" s="1" t="s">
        <v>31</v>
      </c>
      <c r="M308" s="1" t="s">
        <v>45</v>
      </c>
      <c r="N308" s="4">
        <v>36</v>
      </c>
      <c r="O308" s="1" t="s">
        <v>46</v>
      </c>
      <c r="P308" s="1" t="s">
        <v>1032</v>
      </c>
      <c r="Q308" s="1" t="s">
        <v>35</v>
      </c>
      <c r="R308" s="1" t="s">
        <v>36</v>
      </c>
      <c r="S308" s="5">
        <v>431460</v>
      </c>
      <c r="T308" s="1" t="s">
        <v>1033</v>
      </c>
      <c r="U308" s="1" t="s">
        <v>38</v>
      </c>
      <c r="V308" s="3">
        <v>46265.378472222197</v>
      </c>
      <c r="W308" s="6">
        <f t="shared" si="8"/>
        <v>1</v>
      </c>
      <c r="X308" s="6" t="str">
        <f t="shared" si="9"/>
        <v>Não</v>
      </c>
    </row>
    <row r="309" spans="1:24" ht="15" customHeight="1" x14ac:dyDescent="0.3">
      <c r="A309" s="1" t="s">
        <v>1034</v>
      </c>
      <c r="B309" s="1" t="s">
        <v>25</v>
      </c>
      <c r="C309" s="1" t="s">
        <v>896</v>
      </c>
      <c r="D309" s="1" t="s">
        <v>5</v>
      </c>
      <c r="E309" s="3">
        <v>46225.701388888898</v>
      </c>
      <c r="F309" s="3">
        <v>46233.416666666701</v>
      </c>
      <c r="G309" s="3">
        <v>46233.416666666701</v>
      </c>
      <c r="H309" s="1" t="s">
        <v>42</v>
      </c>
      <c r="I309" s="1" t="s">
        <v>1035</v>
      </c>
      <c r="J309" s="1" t="s">
        <v>1036</v>
      </c>
      <c r="K309" s="1" t="s">
        <v>30</v>
      </c>
      <c r="L309" s="1" t="s">
        <v>31</v>
      </c>
      <c r="M309" s="1" t="s">
        <v>45</v>
      </c>
      <c r="N309" s="4">
        <v>36</v>
      </c>
      <c r="O309" s="1" t="s">
        <v>46</v>
      </c>
      <c r="P309" s="1" t="s">
        <v>47</v>
      </c>
      <c r="Q309" s="1" t="s">
        <v>35</v>
      </c>
      <c r="R309" s="1" t="s">
        <v>36</v>
      </c>
      <c r="S309" s="5">
        <v>59040</v>
      </c>
      <c r="T309" s="1" t="s">
        <v>1037</v>
      </c>
      <c r="U309" s="1" t="s">
        <v>38</v>
      </c>
      <c r="V309" s="3">
        <v>46226.384722222203</v>
      </c>
      <c r="W309" s="6">
        <f t="shared" si="8"/>
        <v>1</v>
      </c>
      <c r="X309" s="6" t="str">
        <f t="shared" si="9"/>
        <v>Não</v>
      </c>
    </row>
    <row r="310" spans="1:24" ht="15" customHeight="1" x14ac:dyDescent="0.3">
      <c r="A310" s="1" t="s">
        <v>1038</v>
      </c>
      <c r="B310" s="1" t="s">
        <v>25</v>
      </c>
      <c r="C310" s="1" t="s">
        <v>896</v>
      </c>
      <c r="D310" s="1" t="s">
        <v>5</v>
      </c>
      <c r="E310" s="3">
        <v>46196.672916666699</v>
      </c>
      <c r="F310" s="3">
        <v>46198.567361111098</v>
      </c>
      <c r="G310" s="3">
        <v>46198.567361111098</v>
      </c>
      <c r="H310" s="1" t="s">
        <v>42</v>
      </c>
      <c r="I310" s="1" t="s">
        <v>1039</v>
      </c>
      <c r="J310" s="1" t="s">
        <v>1040</v>
      </c>
      <c r="K310" s="1" t="s">
        <v>30</v>
      </c>
      <c r="L310" s="1" t="s">
        <v>31</v>
      </c>
      <c r="M310" s="1" t="s">
        <v>45</v>
      </c>
      <c r="N310" s="4">
        <v>36</v>
      </c>
      <c r="O310" s="1" t="s">
        <v>46</v>
      </c>
      <c r="P310" s="1" t="s">
        <v>47</v>
      </c>
      <c r="Q310" s="1" t="s">
        <v>35</v>
      </c>
      <c r="R310" s="1" t="s">
        <v>36</v>
      </c>
      <c r="S310" s="5">
        <v>163620</v>
      </c>
      <c r="T310" s="1" t="s">
        <v>1041</v>
      </c>
      <c r="U310" s="1" t="s">
        <v>120</v>
      </c>
      <c r="V310" s="3">
        <v>46198.566666666702</v>
      </c>
      <c r="W310" s="6">
        <f t="shared" si="8"/>
        <v>1</v>
      </c>
      <c r="X310" s="6" t="str">
        <f t="shared" si="9"/>
        <v>Não</v>
      </c>
    </row>
    <row r="311" spans="1:24" ht="15" customHeight="1" x14ac:dyDescent="0.3">
      <c r="A311" s="1" t="s">
        <v>1042</v>
      </c>
      <c r="B311" s="1" t="s">
        <v>25</v>
      </c>
      <c r="C311" s="1" t="s">
        <v>896</v>
      </c>
      <c r="D311" s="1" t="s">
        <v>5</v>
      </c>
      <c r="E311" s="3">
        <v>46217.716666666704</v>
      </c>
      <c r="F311" s="3">
        <v>46223.4243055556</v>
      </c>
      <c r="G311" s="3">
        <v>46223.4243055556</v>
      </c>
      <c r="H311" s="1" t="s">
        <v>42</v>
      </c>
      <c r="I311" s="1" t="s">
        <v>1043</v>
      </c>
      <c r="J311" s="1" t="s">
        <v>922</v>
      </c>
      <c r="K311" s="1" t="s">
        <v>30</v>
      </c>
      <c r="L311" s="1" t="s">
        <v>31</v>
      </c>
      <c r="M311" s="1" t="s">
        <v>680</v>
      </c>
      <c r="N311" s="4">
        <v>36</v>
      </c>
      <c r="O311" s="1" t="s">
        <v>46</v>
      </c>
      <c r="P311" s="1" t="s">
        <v>176</v>
      </c>
      <c r="Q311" s="1" t="s">
        <v>145</v>
      </c>
      <c r="R311" s="1" t="s">
        <v>36</v>
      </c>
      <c r="S311" s="5">
        <v>67740</v>
      </c>
      <c r="T311" s="1" t="s">
        <v>1044</v>
      </c>
      <c r="U311" s="1" t="s">
        <v>38</v>
      </c>
      <c r="V311" s="3">
        <v>46218.500694444498</v>
      </c>
      <c r="W311" s="6">
        <f t="shared" si="8"/>
        <v>4</v>
      </c>
      <c r="X311" s="6" t="str">
        <f t="shared" si="9"/>
        <v>Sim</v>
      </c>
    </row>
    <row r="312" spans="1:24" ht="15" customHeight="1" x14ac:dyDescent="0.3">
      <c r="A312" s="1" t="s">
        <v>1045</v>
      </c>
      <c r="B312" s="1" t="s">
        <v>25</v>
      </c>
      <c r="C312" s="1" t="s">
        <v>896</v>
      </c>
      <c r="D312" s="1" t="s">
        <v>5</v>
      </c>
      <c r="E312" s="3">
        <v>46197.698611111096</v>
      </c>
      <c r="F312" s="3">
        <v>46205.459027777797</v>
      </c>
      <c r="G312" s="3">
        <v>46205.459027777797</v>
      </c>
      <c r="H312" s="1" t="s">
        <v>42</v>
      </c>
      <c r="I312" s="1" t="s">
        <v>1046</v>
      </c>
      <c r="J312" s="1" t="s">
        <v>918</v>
      </c>
      <c r="K312" s="1" t="s">
        <v>30</v>
      </c>
      <c r="L312" s="1" t="s">
        <v>31</v>
      </c>
      <c r="M312" s="1" t="s">
        <v>45</v>
      </c>
      <c r="N312" s="4">
        <v>36</v>
      </c>
      <c r="O312" s="1" t="s">
        <v>46</v>
      </c>
      <c r="P312" s="1" t="s">
        <v>47</v>
      </c>
      <c r="Q312" s="1" t="s">
        <v>35</v>
      </c>
      <c r="R312" s="1" t="s">
        <v>36</v>
      </c>
      <c r="S312" s="5">
        <v>62820</v>
      </c>
      <c r="T312" s="1" t="s">
        <v>1047</v>
      </c>
      <c r="U312" s="1" t="s">
        <v>38</v>
      </c>
      <c r="V312" s="3">
        <v>46198.425694444399</v>
      </c>
      <c r="W312" s="6">
        <f t="shared" si="8"/>
        <v>9</v>
      </c>
      <c r="X312" s="6" t="str">
        <f t="shared" si="9"/>
        <v>Sim</v>
      </c>
    </row>
    <row r="313" spans="1:24" ht="15" customHeight="1" x14ac:dyDescent="0.3">
      <c r="A313" s="1" t="s">
        <v>407</v>
      </c>
      <c r="B313" s="1" t="s">
        <v>25</v>
      </c>
      <c r="C313" s="1" t="s">
        <v>896</v>
      </c>
      <c r="D313" s="1" t="s">
        <v>5</v>
      </c>
      <c r="E313" s="3">
        <v>46238.675694444399</v>
      </c>
      <c r="F313" s="3">
        <v>46241.391666666699</v>
      </c>
      <c r="G313" s="3">
        <v>46241.391666666699</v>
      </c>
      <c r="H313" s="1" t="s">
        <v>42</v>
      </c>
      <c r="I313" s="1" t="s">
        <v>1048</v>
      </c>
      <c r="J313" s="1" t="s">
        <v>503</v>
      </c>
      <c r="K313" s="1" t="s">
        <v>30</v>
      </c>
      <c r="L313" s="1" t="s">
        <v>31</v>
      </c>
      <c r="M313" s="1" t="s">
        <v>680</v>
      </c>
      <c r="N313" s="4">
        <v>36</v>
      </c>
      <c r="O313" s="1" t="s">
        <v>46</v>
      </c>
      <c r="P313" s="1" t="s">
        <v>176</v>
      </c>
      <c r="Q313" s="1" t="s">
        <v>145</v>
      </c>
      <c r="R313" s="1" t="s">
        <v>36</v>
      </c>
      <c r="S313" s="5">
        <v>81180</v>
      </c>
      <c r="T313" s="1" t="s">
        <v>1049</v>
      </c>
      <c r="U313" s="1" t="s">
        <v>38</v>
      </c>
      <c r="V313" s="3">
        <v>46239.615277777797</v>
      </c>
      <c r="W313" s="6">
        <f t="shared" si="8"/>
        <v>4</v>
      </c>
      <c r="X313" s="6" t="str">
        <f t="shared" si="9"/>
        <v>Sim</v>
      </c>
    </row>
    <row r="314" spans="1:24" ht="15" customHeight="1" x14ac:dyDescent="0.3">
      <c r="A314" s="1" t="s">
        <v>1050</v>
      </c>
      <c r="B314" s="1" t="s">
        <v>25</v>
      </c>
      <c r="C314" s="1" t="s">
        <v>896</v>
      </c>
      <c r="D314" s="1" t="s">
        <v>5</v>
      </c>
      <c r="E314" s="3">
        <v>46233.368750000001</v>
      </c>
      <c r="F314" s="3">
        <v>46240.75</v>
      </c>
      <c r="G314" s="3">
        <v>46240.75</v>
      </c>
      <c r="H314" s="1" t="s">
        <v>42</v>
      </c>
      <c r="I314" s="1" t="s">
        <v>1051</v>
      </c>
      <c r="J314" s="1" t="s">
        <v>1052</v>
      </c>
      <c r="K314" s="1" t="s">
        <v>30</v>
      </c>
      <c r="L314" s="1" t="s">
        <v>31</v>
      </c>
      <c r="M314" s="1" t="s">
        <v>45</v>
      </c>
      <c r="N314" s="4">
        <v>36</v>
      </c>
      <c r="O314" s="1" t="s">
        <v>46</v>
      </c>
      <c r="P314" s="1" t="s">
        <v>176</v>
      </c>
      <c r="Q314" s="1" t="s">
        <v>68</v>
      </c>
      <c r="R314" s="1" t="s">
        <v>36</v>
      </c>
      <c r="S314" s="5">
        <v>30900</v>
      </c>
      <c r="T314" s="1" t="s">
        <v>1053</v>
      </c>
      <c r="U314" s="1" t="s">
        <v>38</v>
      </c>
      <c r="V314" s="3">
        <v>46233.726388888899</v>
      </c>
      <c r="W314" s="6">
        <f t="shared" si="8"/>
        <v>1</v>
      </c>
      <c r="X314" s="6" t="str">
        <f t="shared" si="9"/>
        <v>Não</v>
      </c>
    </row>
    <row r="315" spans="1:24" ht="15" customHeight="1" x14ac:dyDescent="0.3">
      <c r="A315" s="1" t="s">
        <v>1054</v>
      </c>
      <c r="B315" s="1" t="s">
        <v>25</v>
      </c>
      <c r="C315" s="1" t="s">
        <v>896</v>
      </c>
      <c r="D315" s="1" t="s">
        <v>5</v>
      </c>
      <c r="E315" s="3">
        <v>46238.71875</v>
      </c>
      <c r="F315" s="3">
        <v>46241.4284722222</v>
      </c>
      <c r="G315" s="3">
        <v>46241.4284722222</v>
      </c>
      <c r="H315" s="1" t="s">
        <v>42</v>
      </c>
      <c r="I315" s="1" t="s">
        <v>1055</v>
      </c>
      <c r="J315" s="1" t="s">
        <v>305</v>
      </c>
      <c r="K315" s="1" t="s">
        <v>30</v>
      </c>
      <c r="L315" s="1" t="s">
        <v>31</v>
      </c>
      <c r="M315" s="1" t="s">
        <v>680</v>
      </c>
      <c r="N315" s="4">
        <v>36</v>
      </c>
      <c r="O315" s="1" t="s">
        <v>46</v>
      </c>
      <c r="P315" s="1" t="s">
        <v>1056</v>
      </c>
      <c r="Q315" s="1" t="s">
        <v>145</v>
      </c>
      <c r="R315" s="1" t="s">
        <v>36</v>
      </c>
      <c r="S315" s="5">
        <v>78780</v>
      </c>
      <c r="T315" s="1" t="s">
        <v>1057</v>
      </c>
      <c r="U315" s="1" t="s">
        <v>120</v>
      </c>
      <c r="V315" s="3">
        <v>46239.630555555603</v>
      </c>
      <c r="W315" s="6">
        <f t="shared" si="8"/>
        <v>9</v>
      </c>
      <c r="X315" s="6" t="str">
        <f t="shared" si="9"/>
        <v>Sim</v>
      </c>
    </row>
    <row r="316" spans="1:24" ht="15" customHeight="1" x14ac:dyDescent="0.3">
      <c r="A316" s="1" t="s">
        <v>1058</v>
      </c>
      <c r="B316" s="1" t="s">
        <v>25</v>
      </c>
      <c r="C316" s="1" t="s">
        <v>896</v>
      </c>
      <c r="D316" s="1" t="s">
        <v>5</v>
      </c>
      <c r="E316" s="3">
        <v>46235.454166666699</v>
      </c>
      <c r="F316" s="3">
        <v>46238.389583333301</v>
      </c>
      <c r="G316" s="3">
        <v>46238.389583333301</v>
      </c>
      <c r="H316" s="1" t="s">
        <v>42</v>
      </c>
      <c r="I316" s="1" t="s">
        <v>1059</v>
      </c>
      <c r="J316" s="1" t="s">
        <v>675</v>
      </c>
      <c r="K316" s="1" t="s">
        <v>30</v>
      </c>
      <c r="L316" s="1" t="s">
        <v>31</v>
      </c>
      <c r="M316" s="1" t="s">
        <v>45</v>
      </c>
      <c r="N316" s="4">
        <v>36</v>
      </c>
      <c r="O316" s="1" t="s">
        <v>46</v>
      </c>
      <c r="P316" s="1" t="s">
        <v>1060</v>
      </c>
      <c r="Q316" s="1" t="s">
        <v>35</v>
      </c>
      <c r="R316" s="1" t="s">
        <v>36</v>
      </c>
      <c r="S316" s="5">
        <v>169380</v>
      </c>
      <c r="T316" s="1" t="s">
        <v>1061</v>
      </c>
      <c r="U316" s="1" t="s">
        <v>120</v>
      </c>
      <c r="V316" s="3">
        <v>46237.414583333302</v>
      </c>
      <c r="W316" s="6">
        <f t="shared" si="8"/>
        <v>4</v>
      </c>
      <c r="X316" s="6" t="str">
        <f t="shared" si="9"/>
        <v>Sim</v>
      </c>
    </row>
    <row r="317" spans="1:24" ht="15" customHeight="1" x14ac:dyDescent="0.3">
      <c r="A317" s="1" t="s">
        <v>1062</v>
      </c>
      <c r="B317" s="1" t="s">
        <v>25</v>
      </c>
      <c r="C317" s="1" t="s">
        <v>896</v>
      </c>
      <c r="D317" s="1" t="s">
        <v>5</v>
      </c>
      <c r="E317" s="3">
        <v>46235.6472222222</v>
      </c>
      <c r="F317" s="3">
        <v>46238.430555555598</v>
      </c>
      <c r="G317" s="3">
        <v>46238.430555555598</v>
      </c>
      <c r="H317" s="1" t="s">
        <v>42</v>
      </c>
      <c r="I317" s="1" t="s">
        <v>1063</v>
      </c>
      <c r="J317" s="1" t="s">
        <v>1064</v>
      </c>
      <c r="K317" s="1" t="s">
        <v>30</v>
      </c>
      <c r="L317" s="1" t="s">
        <v>31</v>
      </c>
      <c r="M317" s="1" t="s">
        <v>45</v>
      </c>
      <c r="N317" s="4">
        <v>36</v>
      </c>
      <c r="O317" s="1" t="s">
        <v>46</v>
      </c>
      <c r="P317" s="1" t="s">
        <v>1065</v>
      </c>
      <c r="Q317" s="1" t="s">
        <v>35</v>
      </c>
      <c r="R317" s="1" t="s">
        <v>36</v>
      </c>
      <c r="S317" s="5">
        <v>153180</v>
      </c>
      <c r="T317" s="1" t="s">
        <v>1066</v>
      </c>
      <c r="U317" s="1" t="s">
        <v>120</v>
      </c>
      <c r="V317" s="3">
        <v>46237.420138888898</v>
      </c>
      <c r="W317" s="6">
        <f t="shared" si="8"/>
        <v>2</v>
      </c>
      <c r="X317" s="6" t="str">
        <f t="shared" si="9"/>
        <v>Sim</v>
      </c>
    </row>
    <row r="318" spans="1:24" ht="15" customHeight="1" x14ac:dyDescent="0.3">
      <c r="A318" s="1" t="s">
        <v>1067</v>
      </c>
      <c r="B318" s="1" t="s">
        <v>25</v>
      </c>
      <c r="C318" s="1" t="s">
        <v>896</v>
      </c>
      <c r="D318" s="1" t="s">
        <v>5</v>
      </c>
      <c r="E318" s="3">
        <v>46235.615277777797</v>
      </c>
      <c r="F318" s="3">
        <v>46239.465972222199</v>
      </c>
      <c r="G318" s="3">
        <v>46239.465972222199</v>
      </c>
      <c r="H318" s="1" t="s">
        <v>42</v>
      </c>
      <c r="I318" s="1" t="s">
        <v>1068</v>
      </c>
      <c r="J318" s="1" t="s">
        <v>1069</v>
      </c>
      <c r="K318" s="1" t="s">
        <v>30</v>
      </c>
      <c r="L318" s="1" t="s">
        <v>31</v>
      </c>
      <c r="M318" s="1" t="s">
        <v>45</v>
      </c>
      <c r="N318" s="4">
        <v>36</v>
      </c>
      <c r="O318" s="1" t="s">
        <v>46</v>
      </c>
      <c r="P318" s="1" t="s">
        <v>1070</v>
      </c>
      <c r="Q318" s="1" t="s">
        <v>35</v>
      </c>
      <c r="R318" s="1" t="s">
        <v>36</v>
      </c>
      <c r="S318" s="5">
        <v>246840</v>
      </c>
      <c r="T318" s="1" t="s">
        <v>1071</v>
      </c>
      <c r="U318" s="1" t="s">
        <v>38</v>
      </c>
      <c r="V318" s="3">
        <v>46238.472222222197</v>
      </c>
      <c r="W318" s="6">
        <f t="shared" si="8"/>
        <v>1</v>
      </c>
      <c r="X318" s="6" t="str">
        <f t="shared" si="9"/>
        <v>Não</v>
      </c>
    </row>
    <row r="319" spans="1:24" ht="15" customHeight="1" x14ac:dyDescent="0.3">
      <c r="A319" s="1" t="s">
        <v>1072</v>
      </c>
      <c r="B319" s="1" t="s">
        <v>25</v>
      </c>
      <c r="C319" s="1" t="s">
        <v>896</v>
      </c>
      <c r="D319" s="1" t="s">
        <v>5</v>
      </c>
      <c r="E319" s="3">
        <v>46232.570833333302</v>
      </c>
      <c r="F319" s="3">
        <v>46239.668055555601</v>
      </c>
      <c r="G319" s="3">
        <v>46239.668055555601</v>
      </c>
      <c r="H319" s="1" t="s">
        <v>42</v>
      </c>
      <c r="I319" s="1" t="s">
        <v>1073</v>
      </c>
      <c r="J319" s="1" t="s">
        <v>305</v>
      </c>
      <c r="K319" s="1" t="s">
        <v>51</v>
      </c>
      <c r="L319" s="1" t="s">
        <v>31</v>
      </c>
      <c r="M319" s="1" t="s">
        <v>45</v>
      </c>
      <c r="N319" s="4">
        <v>36</v>
      </c>
      <c r="O319" s="1" t="s">
        <v>46</v>
      </c>
      <c r="P319" s="1" t="s">
        <v>1074</v>
      </c>
      <c r="Q319" s="1" t="s">
        <v>68</v>
      </c>
      <c r="R319" s="1" t="s">
        <v>36</v>
      </c>
      <c r="S319" s="5">
        <v>7500</v>
      </c>
      <c r="T319" s="1" t="s">
        <v>1075</v>
      </c>
      <c r="U319" s="1" t="s">
        <v>120</v>
      </c>
      <c r="V319" s="3">
        <v>46232.657638888901</v>
      </c>
      <c r="W319" s="6">
        <f t="shared" si="8"/>
        <v>9</v>
      </c>
      <c r="X319" s="6" t="str">
        <f t="shared" si="9"/>
        <v>Sim</v>
      </c>
    </row>
    <row r="320" spans="1:24" ht="15" customHeight="1" x14ac:dyDescent="0.3">
      <c r="A320" s="1" t="s">
        <v>1076</v>
      </c>
      <c r="B320" s="1" t="s">
        <v>25</v>
      </c>
      <c r="C320" s="1" t="s">
        <v>896</v>
      </c>
      <c r="D320" s="1" t="s">
        <v>5</v>
      </c>
      <c r="E320" s="3">
        <v>46216.695833333302</v>
      </c>
      <c r="F320" s="3">
        <v>46226.541666666701</v>
      </c>
      <c r="G320" s="3">
        <v>46226.541666666701</v>
      </c>
      <c r="H320" s="1" t="s">
        <v>42</v>
      </c>
      <c r="I320" s="1" t="s">
        <v>1077</v>
      </c>
      <c r="J320" s="1" t="s">
        <v>918</v>
      </c>
      <c r="K320" s="1" t="s">
        <v>30</v>
      </c>
      <c r="L320" s="1" t="s">
        <v>31</v>
      </c>
      <c r="M320" s="1" t="s">
        <v>680</v>
      </c>
      <c r="N320" s="4">
        <v>36</v>
      </c>
      <c r="O320" s="1" t="s">
        <v>246</v>
      </c>
      <c r="P320" s="1" t="s">
        <v>47</v>
      </c>
      <c r="Q320" s="1" t="s">
        <v>35</v>
      </c>
      <c r="R320" s="1" t="s">
        <v>36</v>
      </c>
      <c r="S320" s="5">
        <v>243660</v>
      </c>
      <c r="T320" s="1" t="s">
        <v>1078</v>
      </c>
      <c r="U320" s="1" t="s">
        <v>38</v>
      </c>
      <c r="V320" s="3">
        <v>46219.515972222202</v>
      </c>
      <c r="W320" s="6">
        <f t="shared" si="8"/>
        <v>9</v>
      </c>
      <c r="X320" s="6" t="str">
        <f t="shared" si="9"/>
        <v>Sim</v>
      </c>
    </row>
    <row r="321" spans="1:24" ht="15" customHeight="1" x14ac:dyDescent="0.3">
      <c r="A321" s="1" t="s">
        <v>1079</v>
      </c>
      <c r="B321" s="1" t="s">
        <v>25</v>
      </c>
      <c r="C321" s="1" t="s">
        <v>896</v>
      </c>
      <c r="D321" s="1" t="s">
        <v>5</v>
      </c>
      <c r="E321" s="3">
        <v>46212.393750000003</v>
      </c>
      <c r="F321" s="3">
        <v>46220.416666666701</v>
      </c>
      <c r="G321" s="3">
        <v>46220.416666666701</v>
      </c>
      <c r="H321" s="1" t="s">
        <v>42</v>
      </c>
      <c r="I321" s="1" t="s">
        <v>1080</v>
      </c>
      <c r="J321" s="1" t="s">
        <v>1081</v>
      </c>
      <c r="K321" s="1" t="s">
        <v>51</v>
      </c>
      <c r="L321" s="1" t="s">
        <v>31</v>
      </c>
      <c r="M321" s="1" t="s">
        <v>62</v>
      </c>
      <c r="N321" s="4">
        <v>36</v>
      </c>
      <c r="O321" s="1" t="s">
        <v>46</v>
      </c>
      <c r="P321" s="1" t="s">
        <v>447</v>
      </c>
      <c r="Q321" s="1" t="s">
        <v>35</v>
      </c>
      <c r="R321" s="1" t="s">
        <v>36</v>
      </c>
      <c r="S321" s="5">
        <v>85560</v>
      </c>
      <c r="T321" s="1" t="s">
        <v>1082</v>
      </c>
      <c r="U321" s="1" t="s">
        <v>38</v>
      </c>
      <c r="V321" s="3">
        <v>46213.3840277778</v>
      </c>
      <c r="W321" s="6">
        <f t="shared" si="8"/>
        <v>1</v>
      </c>
      <c r="X321" s="6" t="str">
        <f t="shared" si="9"/>
        <v>Não</v>
      </c>
    </row>
    <row r="322" spans="1:24" ht="15" customHeight="1" x14ac:dyDescent="0.3">
      <c r="A322" s="1" t="s">
        <v>1083</v>
      </c>
      <c r="B322" s="1" t="s">
        <v>25</v>
      </c>
      <c r="C322" s="1" t="s">
        <v>896</v>
      </c>
      <c r="D322" s="1" t="s">
        <v>5</v>
      </c>
      <c r="E322" s="3">
        <v>46205.448611111096</v>
      </c>
      <c r="F322" s="3">
        <v>46220.416666666701</v>
      </c>
      <c r="G322" s="3">
        <v>46220.416666666701</v>
      </c>
      <c r="H322" s="1" t="s">
        <v>42</v>
      </c>
      <c r="I322" s="1" t="s">
        <v>1084</v>
      </c>
      <c r="J322" s="1" t="s">
        <v>918</v>
      </c>
      <c r="K322" s="1" t="s">
        <v>30</v>
      </c>
      <c r="L322" s="1" t="s">
        <v>31</v>
      </c>
      <c r="M322" s="1" t="s">
        <v>62</v>
      </c>
      <c r="N322" s="4">
        <v>36</v>
      </c>
      <c r="O322" s="1" t="s">
        <v>246</v>
      </c>
      <c r="P322" s="1" t="s">
        <v>47</v>
      </c>
      <c r="Q322" s="1" t="s">
        <v>35</v>
      </c>
      <c r="R322" s="1" t="s">
        <v>36</v>
      </c>
      <c r="S322" s="5">
        <v>686100</v>
      </c>
      <c r="T322" s="1" t="s">
        <v>1085</v>
      </c>
      <c r="U322" s="1" t="s">
        <v>38</v>
      </c>
      <c r="V322" s="3">
        <v>46213.389583333301</v>
      </c>
      <c r="W322" s="6">
        <f t="shared" ref="W322:W385" si="10">COUNTIFS($J$2:$J$417,J322,$C$2:$C$417,C322)</f>
        <v>9</v>
      </c>
      <c r="X322" s="6" t="str">
        <f t="shared" ref="X322:X385" si="11">IF(W322&gt;1,"Sim","Não")</f>
        <v>Sim</v>
      </c>
    </row>
    <row r="323" spans="1:24" ht="15" customHeight="1" x14ac:dyDescent="0.3">
      <c r="A323" s="1" t="s">
        <v>1086</v>
      </c>
      <c r="B323" s="1" t="s">
        <v>25</v>
      </c>
      <c r="C323" s="1" t="s">
        <v>896</v>
      </c>
      <c r="D323" s="1" t="s">
        <v>5</v>
      </c>
      <c r="E323" s="3">
        <v>46211.680555555598</v>
      </c>
      <c r="F323" s="3">
        <v>46219.5</v>
      </c>
      <c r="G323" s="3">
        <v>46219.5</v>
      </c>
      <c r="H323" s="1" t="s">
        <v>42</v>
      </c>
      <c r="I323" s="1" t="s">
        <v>1087</v>
      </c>
      <c r="J323" s="1" t="s">
        <v>1088</v>
      </c>
      <c r="K323" s="1" t="s">
        <v>30</v>
      </c>
      <c r="L323" s="1" t="s">
        <v>31</v>
      </c>
      <c r="M323" s="1" t="s">
        <v>45</v>
      </c>
      <c r="N323" s="4">
        <v>36</v>
      </c>
      <c r="O323" s="1" t="s">
        <v>46</v>
      </c>
      <c r="P323" s="1" t="s">
        <v>47</v>
      </c>
      <c r="Q323" s="1" t="s">
        <v>35</v>
      </c>
      <c r="R323" s="1" t="s">
        <v>36</v>
      </c>
      <c r="S323" s="5">
        <v>67320</v>
      </c>
      <c r="T323" s="1" t="s">
        <v>1089</v>
      </c>
      <c r="U323" s="1" t="s">
        <v>38</v>
      </c>
      <c r="V323" s="3">
        <v>46212.4597222222</v>
      </c>
      <c r="W323" s="6">
        <f t="shared" si="10"/>
        <v>1</v>
      </c>
      <c r="X323" s="6" t="str">
        <f t="shared" si="11"/>
        <v>Não</v>
      </c>
    </row>
    <row r="324" spans="1:24" ht="15" customHeight="1" x14ac:dyDescent="0.3">
      <c r="A324" s="1" t="s">
        <v>1090</v>
      </c>
      <c r="B324" s="1" t="s">
        <v>25</v>
      </c>
      <c r="C324" s="1" t="s">
        <v>896</v>
      </c>
      <c r="D324" s="1" t="s">
        <v>5</v>
      </c>
      <c r="E324" s="3">
        <v>46213.671527777798</v>
      </c>
      <c r="F324" s="3">
        <v>46223.5</v>
      </c>
      <c r="G324" s="3">
        <v>46223.5</v>
      </c>
      <c r="H324" s="1" t="s">
        <v>42</v>
      </c>
      <c r="I324" s="1" t="s">
        <v>1091</v>
      </c>
      <c r="J324" s="1" t="s">
        <v>1092</v>
      </c>
      <c r="K324" s="1" t="s">
        <v>30</v>
      </c>
      <c r="L324" s="1" t="s">
        <v>31</v>
      </c>
      <c r="M324" s="1" t="s">
        <v>680</v>
      </c>
      <c r="N324" s="4">
        <v>36</v>
      </c>
      <c r="O324" s="1" t="s">
        <v>46</v>
      </c>
      <c r="P324" s="1" t="s">
        <v>1093</v>
      </c>
      <c r="Q324" s="1" t="s">
        <v>145</v>
      </c>
      <c r="R324" s="1" t="s">
        <v>36</v>
      </c>
      <c r="S324" s="5">
        <v>241500</v>
      </c>
      <c r="T324" s="1" t="s">
        <v>1094</v>
      </c>
      <c r="U324" s="1" t="s">
        <v>38</v>
      </c>
      <c r="V324" s="3">
        <v>46216.466666666704</v>
      </c>
      <c r="W324" s="6">
        <f t="shared" si="10"/>
        <v>1</v>
      </c>
      <c r="X324" s="6" t="str">
        <f t="shared" si="11"/>
        <v>Não</v>
      </c>
    </row>
    <row r="325" spans="1:24" ht="15" customHeight="1" x14ac:dyDescent="0.3">
      <c r="A325" s="1" t="s">
        <v>1095</v>
      </c>
      <c r="B325" s="1" t="s">
        <v>25</v>
      </c>
      <c r="C325" s="1" t="s">
        <v>896</v>
      </c>
      <c r="D325" s="1" t="s">
        <v>5</v>
      </c>
      <c r="E325" s="3">
        <v>46248.496527777803</v>
      </c>
      <c r="F325" s="3">
        <v>46266.541666666701</v>
      </c>
      <c r="G325" s="3">
        <v>46266.541666666701</v>
      </c>
      <c r="H325" s="1" t="s">
        <v>42</v>
      </c>
      <c r="I325" s="1" t="s">
        <v>1096</v>
      </c>
      <c r="J325" s="1" t="s">
        <v>305</v>
      </c>
      <c r="K325" s="1" t="s">
        <v>30</v>
      </c>
      <c r="L325" s="1" t="s">
        <v>31</v>
      </c>
      <c r="M325" s="1" t="s">
        <v>680</v>
      </c>
      <c r="N325" s="4">
        <v>36</v>
      </c>
      <c r="O325" s="1" t="s">
        <v>46</v>
      </c>
      <c r="P325" s="1" t="s">
        <v>47</v>
      </c>
      <c r="Q325" s="1" t="s">
        <v>145</v>
      </c>
      <c r="R325" s="1" t="s">
        <v>36</v>
      </c>
      <c r="S325" s="5">
        <v>950820</v>
      </c>
      <c r="T325" s="1" t="s">
        <v>1097</v>
      </c>
      <c r="U325" s="1" t="s">
        <v>38</v>
      </c>
      <c r="V325" s="3">
        <v>46259.501388888901</v>
      </c>
      <c r="W325" s="6">
        <f t="shared" si="10"/>
        <v>9</v>
      </c>
      <c r="X325" s="6" t="str">
        <f t="shared" si="11"/>
        <v>Sim</v>
      </c>
    </row>
    <row r="326" spans="1:24" ht="15" customHeight="1" x14ac:dyDescent="0.3">
      <c r="A326" s="1" t="s">
        <v>1098</v>
      </c>
      <c r="B326" s="1" t="s">
        <v>25</v>
      </c>
      <c r="C326" s="1" t="s">
        <v>896</v>
      </c>
      <c r="D326" s="1" t="s">
        <v>5</v>
      </c>
      <c r="E326" s="3">
        <v>46267.463888888902</v>
      </c>
      <c r="F326" s="3">
        <v>46274.709027777797</v>
      </c>
      <c r="G326" s="3">
        <v>46274.709027777797</v>
      </c>
      <c r="H326" s="1" t="s">
        <v>42</v>
      </c>
      <c r="I326" s="1" t="s">
        <v>1099</v>
      </c>
      <c r="J326" s="1" t="s">
        <v>1100</v>
      </c>
      <c r="K326" s="1" t="s">
        <v>30</v>
      </c>
      <c r="L326" s="1" t="s">
        <v>31</v>
      </c>
      <c r="M326" s="1" t="s">
        <v>680</v>
      </c>
      <c r="N326" s="4">
        <v>36</v>
      </c>
      <c r="O326" s="1" t="s">
        <v>46</v>
      </c>
      <c r="P326" s="1" t="s">
        <v>47</v>
      </c>
      <c r="Q326" s="1" t="s">
        <v>145</v>
      </c>
      <c r="R326" s="1" t="s">
        <v>36</v>
      </c>
      <c r="S326" s="5">
        <v>20160</v>
      </c>
      <c r="T326" s="1" t="s">
        <v>1101</v>
      </c>
      <c r="U326" s="1" t="s">
        <v>38</v>
      </c>
      <c r="V326" s="3">
        <v>46267.697222222203</v>
      </c>
      <c r="W326" s="6">
        <f t="shared" si="10"/>
        <v>1</v>
      </c>
      <c r="X326" s="6" t="str">
        <f t="shared" si="11"/>
        <v>Não</v>
      </c>
    </row>
    <row r="327" spans="1:24" ht="15" customHeight="1" x14ac:dyDescent="0.3">
      <c r="A327" s="1" t="s">
        <v>1102</v>
      </c>
      <c r="B327" s="1" t="s">
        <v>25</v>
      </c>
      <c r="C327" s="1" t="s">
        <v>896</v>
      </c>
      <c r="D327" s="1" t="s">
        <v>5</v>
      </c>
      <c r="E327" s="3">
        <v>46259.426388888904</v>
      </c>
      <c r="F327" s="3">
        <v>46266.625</v>
      </c>
      <c r="G327" s="3">
        <v>46266.625</v>
      </c>
      <c r="H327" s="1" t="s">
        <v>42</v>
      </c>
      <c r="I327" s="1" t="s">
        <v>1103</v>
      </c>
      <c r="J327" s="1" t="s">
        <v>1104</v>
      </c>
      <c r="K327" s="1" t="s">
        <v>30</v>
      </c>
      <c r="L327" s="1" t="s">
        <v>31</v>
      </c>
      <c r="M327" s="1" t="s">
        <v>680</v>
      </c>
      <c r="N327" s="4">
        <v>36</v>
      </c>
      <c r="O327" s="1" t="s">
        <v>46</v>
      </c>
      <c r="P327" s="1" t="s">
        <v>47</v>
      </c>
      <c r="Q327" s="1" t="s">
        <v>145</v>
      </c>
      <c r="R327" s="1" t="s">
        <v>36</v>
      </c>
      <c r="S327" s="5">
        <v>15720</v>
      </c>
      <c r="T327" s="1" t="s">
        <v>1105</v>
      </c>
      <c r="U327" s="1" t="s">
        <v>38</v>
      </c>
      <c r="V327" s="3">
        <v>46259.608333333301</v>
      </c>
      <c r="W327" s="6">
        <f t="shared" si="10"/>
        <v>3</v>
      </c>
      <c r="X327" s="6" t="str">
        <f t="shared" si="11"/>
        <v>Sim</v>
      </c>
    </row>
    <row r="328" spans="1:24" ht="15" customHeight="1" x14ac:dyDescent="0.3">
      <c r="A328" s="1" t="s">
        <v>1106</v>
      </c>
      <c r="B328" s="1" t="s">
        <v>25</v>
      </c>
      <c r="C328" s="1" t="s">
        <v>896</v>
      </c>
      <c r="D328" s="1" t="s">
        <v>5</v>
      </c>
      <c r="E328" s="3">
        <v>46237.436111111099</v>
      </c>
      <c r="F328" s="3">
        <v>46240.719444444498</v>
      </c>
      <c r="G328" s="3">
        <v>46240.719444444498</v>
      </c>
      <c r="H328" s="1" t="s">
        <v>42</v>
      </c>
      <c r="I328" s="1" t="s">
        <v>1107</v>
      </c>
      <c r="J328" s="1" t="s">
        <v>1108</v>
      </c>
      <c r="K328" s="1" t="s">
        <v>30</v>
      </c>
      <c r="L328" s="1" t="s">
        <v>31</v>
      </c>
      <c r="M328" s="1" t="s">
        <v>45</v>
      </c>
      <c r="N328" s="4">
        <v>36</v>
      </c>
      <c r="O328" s="1" t="s">
        <v>46</v>
      </c>
      <c r="P328" s="1" t="s">
        <v>1109</v>
      </c>
      <c r="Q328" s="1" t="s">
        <v>35</v>
      </c>
      <c r="R328" s="1" t="s">
        <v>36</v>
      </c>
      <c r="S328" s="5">
        <v>86580</v>
      </c>
      <c r="T328" s="1" t="s">
        <v>1110</v>
      </c>
      <c r="U328" s="1" t="s">
        <v>120</v>
      </c>
      <c r="V328" s="3">
        <v>46238.438194444498</v>
      </c>
      <c r="W328" s="6">
        <f t="shared" si="10"/>
        <v>1</v>
      </c>
      <c r="X328" s="6" t="str">
        <f t="shared" si="11"/>
        <v>Não</v>
      </c>
    </row>
    <row r="329" spans="1:24" ht="15" customHeight="1" x14ac:dyDescent="0.3">
      <c r="A329" s="1" t="s">
        <v>1111</v>
      </c>
      <c r="B329" s="1" t="s">
        <v>25</v>
      </c>
      <c r="C329" s="1" t="s">
        <v>896</v>
      </c>
      <c r="D329" s="1" t="s">
        <v>5</v>
      </c>
      <c r="E329" s="3">
        <v>46218.673611111102</v>
      </c>
      <c r="F329" s="3">
        <v>46227.5</v>
      </c>
      <c r="G329" s="3">
        <v>46227.5</v>
      </c>
      <c r="H329" s="1" t="s">
        <v>42</v>
      </c>
      <c r="I329" s="1" t="s">
        <v>1112</v>
      </c>
      <c r="J329" s="1" t="s">
        <v>1113</v>
      </c>
      <c r="K329" s="1" t="s">
        <v>30</v>
      </c>
      <c r="L329" s="1" t="s">
        <v>31</v>
      </c>
      <c r="M329" s="1" t="s">
        <v>680</v>
      </c>
      <c r="N329" s="4">
        <v>36</v>
      </c>
      <c r="O329" s="1" t="s">
        <v>46</v>
      </c>
      <c r="P329" s="1" t="s">
        <v>176</v>
      </c>
      <c r="Q329" s="1" t="s">
        <v>35</v>
      </c>
      <c r="R329" s="1" t="s">
        <v>36</v>
      </c>
      <c r="S329" s="5">
        <v>155760</v>
      </c>
      <c r="T329" s="1" t="s">
        <v>1114</v>
      </c>
      <c r="U329" s="1" t="s">
        <v>38</v>
      </c>
      <c r="V329" s="3">
        <v>46220.476388888899</v>
      </c>
      <c r="W329" s="6">
        <f t="shared" si="10"/>
        <v>1</v>
      </c>
      <c r="X329" s="6" t="str">
        <f t="shared" si="11"/>
        <v>Não</v>
      </c>
    </row>
    <row r="330" spans="1:24" ht="15" customHeight="1" x14ac:dyDescent="0.3">
      <c r="A330" s="1" t="s">
        <v>1115</v>
      </c>
      <c r="B330" s="1" t="s">
        <v>25</v>
      </c>
      <c r="C330" s="1" t="s">
        <v>896</v>
      </c>
      <c r="D330" s="1" t="s">
        <v>5</v>
      </c>
      <c r="E330" s="3">
        <v>46240.727083333302</v>
      </c>
      <c r="F330" s="3">
        <v>46248.375</v>
      </c>
      <c r="G330" s="3">
        <v>46273.426388888904</v>
      </c>
      <c r="H330" s="1" t="s">
        <v>42</v>
      </c>
      <c r="I330" s="1" t="s">
        <v>1116</v>
      </c>
      <c r="J330" s="1" t="s">
        <v>1117</v>
      </c>
      <c r="K330" s="1" t="s">
        <v>51</v>
      </c>
      <c r="L330" s="1" t="s">
        <v>31</v>
      </c>
      <c r="M330" s="1" t="s">
        <v>680</v>
      </c>
      <c r="N330" s="4">
        <v>36</v>
      </c>
      <c r="O330" s="1" t="s">
        <v>1118</v>
      </c>
      <c r="P330" s="1" t="s">
        <v>47</v>
      </c>
      <c r="Q330" s="1" t="s">
        <v>145</v>
      </c>
      <c r="R330" s="1" t="s">
        <v>36</v>
      </c>
      <c r="S330" s="5">
        <v>55320</v>
      </c>
      <c r="T330" s="1" t="s">
        <v>1119</v>
      </c>
      <c r="U330" s="1" t="s">
        <v>38</v>
      </c>
      <c r="V330" s="3">
        <v>46241.367361111101</v>
      </c>
      <c r="W330" s="6">
        <f t="shared" si="10"/>
        <v>1</v>
      </c>
      <c r="X330" s="6" t="str">
        <f t="shared" si="11"/>
        <v>Não</v>
      </c>
    </row>
    <row r="331" spans="1:24" ht="15" customHeight="1" x14ac:dyDescent="0.3">
      <c r="A331" s="1" t="s">
        <v>1120</v>
      </c>
      <c r="B331" s="1" t="s">
        <v>25</v>
      </c>
      <c r="C331" s="1" t="s">
        <v>896</v>
      </c>
      <c r="D331" s="1" t="s">
        <v>5</v>
      </c>
      <c r="E331" s="3">
        <v>46233.844444444498</v>
      </c>
      <c r="F331" s="3">
        <v>46248.375</v>
      </c>
      <c r="G331" s="3">
        <v>46248.375</v>
      </c>
      <c r="H331" s="1" t="s">
        <v>42</v>
      </c>
      <c r="I331" s="1" t="s">
        <v>1121</v>
      </c>
      <c r="J331" s="1" t="s">
        <v>566</v>
      </c>
      <c r="K331" s="1" t="s">
        <v>30</v>
      </c>
      <c r="L331" s="1" t="s">
        <v>31</v>
      </c>
      <c r="M331" s="1" t="s">
        <v>680</v>
      </c>
      <c r="N331" s="4">
        <v>36</v>
      </c>
      <c r="O331" s="1" t="s">
        <v>46</v>
      </c>
      <c r="P331" s="1" t="s">
        <v>47</v>
      </c>
      <c r="Q331" s="1" t="s">
        <v>145</v>
      </c>
      <c r="R331" s="1" t="s">
        <v>36</v>
      </c>
      <c r="S331" s="5">
        <v>650580</v>
      </c>
      <c r="T331" s="1" t="s">
        <v>1122</v>
      </c>
      <c r="U331" s="1" t="s">
        <v>38</v>
      </c>
      <c r="V331" s="3">
        <v>46241.374305555597</v>
      </c>
      <c r="W331" s="6">
        <f t="shared" si="10"/>
        <v>1</v>
      </c>
      <c r="X331" s="6" t="str">
        <f t="shared" si="11"/>
        <v>Não</v>
      </c>
    </row>
    <row r="332" spans="1:24" ht="15" customHeight="1" x14ac:dyDescent="0.3">
      <c r="A332" s="1" t="s">
        <v>1123</v>
      </c>
      <c r="B332" s="1" t="s">
        <v>25</v>
      </c>
      <c r="C332" s="1" t="s">
        <v>896</v>
      </c>
      <c r="D332" s="1" t="s">
        <v>5</v>
      </c>
      <c r="E332" s="3">
        <v>46247.501388888901</v>
      </c>
      <c r="F332" s="3">
        <v>46254.666666666701</v>
      </c>
      <c r="G332" s="3">
        <v>46273.416666666701</v>
      </c>
      <c r="H332" s="1" t="s">
        <v>42</v>
      </c>
      <c r="I332" s="1" t="s">
        <v>1124</v>
      </c>
      <c r="J332" s="1" t="s">
        <v>1125</v>
      </c>
      <c r="K332" s="1" t="s">
        <v>30</v>
      </c>
      <c r="L332" s="1" t="s">
        <v>31</v>
      </c>
      <c r="M332" s="1" t="s">
        <v>32</v>
      </c>
      <c r="N332" s="4">
        <v>36</v>
      </c>
      <c r="O332" s="1" t="s">
        <v>46</v>
      </c>
      <c r="P332" s="1" t="s">
        <v>1126</v>
      </c>
      <c r="Q332" s="1" t="s">
        <v>68</v>
      </c>
      <c r="R332" s="1" t="s">
        <v>36</v>
      </c>
      <c r="S332" s="5">
        <v>12180</v>
      </c>
      <c r="T332" s="1" t="s">
        <v>1127</v>
      </c>
      <c r="U332" s="1" t="s">
        <v>38</v>
      </c>
      <c r="V332" s="3">
        <v>46247.642361111102</v>
      </c>
      <c r="W332" s="6">
        <f t="shared" si="10"/>
        <v>1</v>
      </c>
      <c r="X332" s="6" t="str">
        <f t="shared" si="11"/>
        <v>Não</v>
      </c>
    </row>
    <row r="333" spans="1:24" ht="15" customHeight="1" x14ac:dyDescent="0.3">
      <c r="A333" s="1" t="s">
        <v>1128</v>
      </c>
      <c r="B333" s="1" t="s">
        <v>25</v>
      </c>
      <c r="C333" s="1" t="s">
        <v>896</v>
      </c>
      <c r="D333" s="1" t="s">
        <v>5</v>
      </c>
      <c r="E333" s="3">
        <v>46238.518750000003</v>
      </c>
      <c r="F333" s="3">
        <v>46238.642361111102</v>
      </c>
      <c r="G333" s="3">
        <v>46238.642361111102</v>
      </c>
      <c r="H333" s="1" t="s">
        <v>42</v>
      </c>
      <c r="I333" s="1" t="s">
        <v>1129</v>
      </c>
      <c r="J333" s="1" t="s">
        <v>1130</v>
      </c>
      <c r="K333" s="1" t="s">
        <v>30</v>
      </c>
      <c r="L333" s="1" t="s">
        <v>31</v>
      </c>
      <c r="M333" s="1" t="s">
        <v>45</v>
      </c>
      <c r="N333" s="4">
        <v>36</v>
      </c>
      <c r="O333" s="1" t="s">
        <v>46</v>
      </c>
      <c r="P333" s="1" t="s">
        <v>1131</v>
      </c>
      <c r="Q333" s="1" t="s">
        <v>35</v>
      </c>
      <c r="R333" s="1" t="s">
        <v>36</v>
      </c>
      <c r="S333" s="5">
        <v>8700</v>
      </c>
      <c r="T333" s="1" t="s">
        <v>635</v>
      </c>
      <c r="U333" s="1" t="s">
        <v>120</v>
      </c>
      <c r="V333" s="3">
        <v>46238.619444444397</v>
      </c>
      <c r="W333" s="6">
        <f t="shared" si="10"/>
        <v>1</v>
      </c>
      <c r="X333" s="6" t="str">
        <f t="shared" si="11"/>
        <v>Não</v>
      </c>
    </row>
    <row r="334" spans="1:24" ht="15" customHeight="1" x14ac:dyDescent="0.3">
      <c r="A334" s="1" t="s">
        <v>1106</v>
      </c>
      <c r="B334" s="1" t="s">
        <v>25</v>
      </c>
      <c r="C334" s="1" t="s">
        <v>896</v>
      </c>
      <c r="D334" s="1" t="s">
        <v>5</v>
      </c>
      <c r="E334" s="3">
        <v>46237.436805555597</v>
      </c>
      <c r="F334" s="3">
        <v>46238.661805555603</v>
      </c>
      <c r="G334" s="3">
        <v>46238.661805555603</v>
      </c>
      <c r="H334" s="1" t="s">
        <v>42</v>
      </c>
      <c r="I334" s="1" t="s">
        <v>1132</v>
      </c>
      <c r="J334" s="1" t="s">
        <v>675</v>
      </c>
      <c r="K334" s="1" t="s">
        <v>30</v>
      </c>
      <c r="L334" s="1" t="s">
        <v>31</v>
      </c>
      <c r="M334" s="1" t="s">
        <v>680</v>
      </c>
      <c r="N334" s="4">
        <v>36</v>
      </c>
      <c r="O334" s="1" t="s">
        <v>46</v>
      </c>
      <c r="P334" s="1" t="s">
        <v>1060</v>
      </c>
      <c r="Q334" s="1" t="s">
        <v>145</v>
      </c>
      <c r="R334" s="1" t="s">
        <v>36</v>
      </c>
      <c r="S334" s="5">
        <v>105180</v>
      </c>
      <c r="T334" s="1" t="s">
        <v>1133</v>
      </c>
      <c r="U334" s="1" t="s">
        <v>120</v>
      </c>
      <c r="V334" s="3">
        <v>46238.654166666704</v>
      </c>
      <c r="W334" s="6">
        <f t="shared" si="10"/>
        <v>4</v>
      </c>
      <c r="X334" s="6" t="str">
        <f t="shared" si="11"/>
        <v>Sim</v>
      </c>
    </row>
    <row r="335" spans="1:24" ht="15" customHeight="1" x14ac:dyDescent="0.3">
      <c r="A335" s="1" t="s">
        <v>1134</v>
      </c>
      <c r="B335" s="1" t="s">
        <v>25</v>
      </c>
      <c r="C335" s="1" t="s">
        <v>896</v>
      </c>
      <c r="D335" s="1" t="s">
        <v>5</v>
      </c>
      <c r="E335" s="3">
        <v>46237.619444444397</v>
      </c>
      <c r="F335" s="3">
        <v>46238.629166666702</v>
      </c>
      <c r="G335" s="3">
        <v>46238.629166666702</v>
      </c>
      <c r="H335" s="1" t="s">
        <v>42</v>
      </c>
      <c r="I335" s="1" t="s">
        <v>1135</v>
      </c>
      <c r="J335" s="1" t="s">
        <v>503</v>
      </c>
      <c r="K335" s="1" t="s">
        <v>30</v>
      </c>
      <c r="L335" s="1" t="s">
        <v>31</v>
      </c>
      <c r="M335" s="1" t="s">
        <v>680</v>
      </c>
      <c r="N335" s="4">
        <v>36</v>
      </c>
      <c r="O335" s="1" t="s">
        <v>46</v>
      </c>
      <c r="P335" s="1" t="s">
        <v>176</v>
      </c>
      <c r="Q335" s="1" t="s">
        <v>35</v>
      </c>
      <c r="R335" s="1" t="s">
        <v>36</v>
      </c>
      <c r="S335" s="5">
        <v>2760</v>
      </c>
      <c r="T335" s="1" t="s">
        <v>1136</v>
      </c>
      <c r="U335" s="1" t="s">
        <v>38</v>
      </c>
      <c r="V335" s="3">
        <v>46237.651388888902</v>
      </c>
      <c r="W335" s="6">
        <f t="shared" si="10"/>
        <v>4</v>
      </c>
      <c r="X335" s="6" t="str">
        <f t="shared" si="11"/>
        <v>Sim</v>
      </c>
    </row>
    <row r="336" spans="1:24" ht="15" customHeight="1" x14ac:dyDescent="0.3">
      <c r="A336" s="1" t="s">
        <v>1137</v>
      </c>
      <c r="B336" s="1" t="s">
        <v>25</v>
      </c>
      <c r="C336" s="1" t="s">
        <v>896</v>
      </c>
      <c r="D336" s="1" t="s">
        <v>5</v>
      </c>
      <c r="E336" s="3">
        <v>46238.728472222203</v>
      </c>
      <c r="F336" s="3">
        <v>46246.626388888901</v>
      </c>
      <c r="G336" s="3">
        <v>46246.626388888901</v>
      </c>
      <c r="H336" s="1" t="s">
        <v>42</v>
      </c>
      <c r="I336" s="1" t="s">
        <v>1138</v>
      </c>
      <c r="J336" s="1" t="s">
        <v>1139</v>
      </c>
      <c r="K336" s="1" t="s">
        <v>30</v>
      </c>
      <c r="L336" s="1" t="s">
        <v>31</v>
      </c>
      <c r="M336" s="1" t="s">
        <v>680</v>
      </c>
      <c r="N336" s="4">
        <v>36</v>
      </c>
      <c r="O336" s="1" t="s">
        <v>46</v>
      </c>
      <c r="P336" s="1" t="s">
        <v>447</v>
      </c>
      <c r="Q336" s="1" t="s">
        <v>145</v>
      </c>
      <c r="R336" s="1" t="s">
        <v>36</v>
      </c>
      <c r="S336" s="5">
        <v>76080</v>
      </c>
      <c r="T336" s="1" t="s">
        <v>1140</v>
      </c>
      <c r="U336" s="1" t="s">
        <v>38</v>
      </c>
      <c r="V336" s="3">
        <v>46239.609027777798</v>
      </c>
      <c r="W336" s="6">
        <f t="shared" si="10"/>
        <v>1</v>
      </c>
      <c r="X336" s="6" t="str">
        <f t="shared" si="11"/>
        <v>Não</v>
      </c>
    </row>
    <row r="337" spans="1:24" ht="15" customHeight="1" x14ac:dyDescent="0.3">
      <c r="A337" s="1" t="s">
        <v>1141</v>
      </c>
      <c r="B337" s="1" t="s">
        <v>25</v>
      </c>
      <c r="C337" s="1" t="s">
        <v>896</v>
      </c>
      <c r="D337" s="1" t="s">
        <v>5</v>
      </c>
      <c r="E337" s="3">
        <v>46248.471527777801</v>
      </c>
      <c r="F337" s="3">
        <v>46255.625</v>
      </c>
      <c r="G337" s="3">
        <v>46255.625</v>
      </c>
      <c r="H337" s="1" t="s">
        <v>42</v>
      </c>
      <c r="I337" s="1" t="s">
        <v>1142</v>
      </c>
      <c r="J337" s="1" t="s">
        <v>698</v>
      </c>
      <c r="K337" s="1" t="s">
        <v>30</v>
      </c>
      <c r="L337" s="1" t="s">
        <v>31</v>
      </c>
      <c r="M337" s="1" t="s">
        <v>680</v>
      </c>
      <c r="N337" s="4">
        <v>36</v>
      </c>
      <c r="O337" s="1" t="s">
        <v>46</v>
      </c>
      <c r="P337" s="1" t="s">
        <v>176</v>
      </c>
      <c r="Q337" s="1" t="s">
        <v>145</v>
      </c>
      <c r="R337" s="1" t="s">
        <v>36</v>
      </c>
      <c r="S337" s="5">
        <v>12120</v>
      </c>
      <c r="T337" s="1" t="s">
        <v>1143</v>
      </c>
      <c r="U337" s="1" t="s">
        <v>38</v>
      </c>
      <c r="V337" s="3">
        <v>46248.6118055556</v>
      </c>
      <c r="W337" s="6">
        <f t="shared" si="10"/>
        <v>5</v>
      </c>
      <c r="X337" s="6" t="str">
        <f t="shared" si="11"/>
        <v>Sim</v>
      </c>
    </row>
    <row r="338" spans="1:24" ht="15" customHeight="1" x14ac:dyDescent="0.3">
      <c r="A338" s="1" t="s">
        <v>1144</v>
      </c>
      <c r="B338" s="1" t="s">
        <v>25</v>
      </c>
      <c r="C338" s="1" t="s">
        <v>896</v>
      </c>
      <c r="D338" s="1" t="s">
        <v>5</v>
      </c>
      <c r="E338" s="3">
        <v>46246.714583333298</v>
      </c>
      <c r="F338" s="3">
        <v>46259.333333333299</v>
      </c>
      <c r="G338" s="3">
        <v>46259.333333333299</v>
      </c>
      <c r="H338" s="1" t="s">
        <v>42</v>
      </c>
      <c r="I338" s="1" t="s">
        <v>1145</v>
      </c>
      <c r="J338" s="1" t="s">
        <v>1104</v>
      </c>
      <c r="K338" s="1" t="s">
        <v>30</v>
      </c>
      <c r="L338" s="1" t="s">
        <v>31</v>
      </c>
      <c r="M338" s="1" t="s">
        <v>680</v>
      </c>
      <c r="N338" s="4">
        <v>36</v>
      </c>
      <c r="O338" s="1" t="s">
        <v>46</v>
      </c>
      <c r="P338" s="1" t="s">
        <v>47</v>
      </c>
      <c r="Q338" s="1" t="s">
        <v>35</v>
      </c>
      <c r="R338" s="1" t="s">
        <v>36</v>
      </c>
      <c r="S338" s="5">
        <v>482520</v>
      </c>
      <c r="T338" s="1" t="s">
        <v>1146</v>
      </c>
      <c r="U338" s="1" t="s">
        <v>38</v>
      </c>
      <c r="V338" s="3">
        <v>46252.2993055556</v>
      </c>
      <c r="W338" s="6">
        <f t="shared" si="10"/>
        <v>3</v>
      </c>
      <c r="X338" s="6" t="str">
        <f t="shared" si="11"/>
        <v>Sim</v>
      </c>
    </row>
    <row r="339" spans="1:24" ht="15" customHeight="1" x14ac:dyDescent="0.3">
      <c r="A339" s="1" t="s">
        <v>1147</v>
      </c>
      <c r="B339" s="1" t="s">
        <v>25</v>
      </c>
      <c r="C339" s="1" t="s">
        <v>896</v>
      </c>
      <c r="D339" s="1" t="s">
        <v>5</v>
      </c>
      <c r="E339" s="3">
        <v>46245.564583333296</v>
      </c>
      <c r="F339" s="3">
        <v>46253.5</v>
      </c>
      <c r="G339" s="3">
        <v>46253.5</v>
      </c>
      <c r="H339" s="1" t="s">
        <v>42</v>
      </c>
      <c r="I339" s="1" t="s">
        <v>1148</v>
      </c>
      <c r="J339" s="1" t="s">
        <v>898</v>
      </c>
      <c r="K339" s="1" t="s">
        <v>51</v>
      </c>
      <c r="L339" s="1" t="s">
        <v>31</v>
      </c>
      <c r="M339" s="1" t="s">
        <v>680</v>
      </c>
      <c r="N339" s="4">
        <v>36</v>
      </c>
      <c r="O339" s="1" t="s">
        <v>46</v>
      </c>
      <c r="P339" s="1" t="s">
        <v>176</v>
      </c>
      <c r="Q339" s="1" t="s">
        <v>145</v>
      </c>
      <c r="R339" s="1" t="s">
        <v>36</v>
      </c>
      <c r="S339" s="5">
        <v>77460</v>
      </c>
      <c r="T339" s="1" t="s">
        <v>1149</v>
      </c>
      <c r="U339" s="1" t="s">
        <v>38</v>
      </c>
      <c r="V339" s="3">
        <v>46246.461111111101</v>
      </c>
      <c r="W339" s="6">
        <f t="shared" si="10"/>
        <v>4</v>
      </c>
      <c r="X339" s="6" t="str">
        <f t="shared" si="11"/>
        <v>Sim</v>
      </c>
    </row>
    <row r="340" spans="1:24" ht="15" customHeight="1" x14ac:dyDescent="0.3">
      <c r="A340" s="1" t="s">
        <v>1150</v>
      </c>
      <c r="B340" s="1" t="s">
        <v>25</v>
      </c>
      <c r="C340" s="1" t="s">
        <v>896</v>
      </c>
      <c r="D340" s="1" t="s">
        <v>5</v>
      </c>
      <c r="E340" s="3">
        <v>46254.372222222199</v>
      </c>
      <c r="F340" s="3">
        <v>46261.416666666701</v>
      </c>
      <c r="G340" s="3">
        <v>46261.416666666701</v>
      </c>
      <c r="H340" s="1" t="s">
        <v>42</v>
      </c>
      <c r="I340" s="1" t="s">
        <v>1151</v>
      </c>
      <c r="J340" s="1" t="s">
        <v>675</v>
      </c>
      <c r="K340" s="1" t="s">
        <v>30</v>
      </c>
      <c r="L340" s="1" t="s">
        <v>31</v>
      </c>
      <c r="M340" s="1" t="s">
        <v>45</v>
      </c>
      <c r="N340" s="4">
        <v>36</v>
      </c>
      <c r="O340" s="1" t="s">
        <v>46</v>
      </c>
      <c r="P340" s="1" t="s">
        <v>47</v>
      </c>
      <c r="Q340" s="1" t="s">
        <v>68</v>
      </c>
      <c r="R340" s="1" t="s">
        <v>36</v>
      </c>
      <c r="S340" s="5">
        <v>1560</v>
      </c>
      <c r="T340" s="1" t="s">
        <v>1152</v>
      </c>
      <c r="U340" s="1" t="s">
        <v>38</v>
      </c>
      <c r="V340" s="3">
        <v>46254.390277777798</v>
      </c>
      <c r="W340" s="6">
        <f t="shared" si="10"/>
        <v>4</v>
      </c>
      <c r="X340" s="6" t="str">
        <f t="shared" si="11"/>
        <v>Sim</v>
      </c>
    </row>
    <row r="341" spans="1:24" ht="15" customHeight="1" x14ac:dyDescent="0.3">
      <c r="A341" s="1" t="s">
        <v>816</v>
      </c>
      <c r="B341" s="1" t="s">
        <v>25</v>
      </c>
      <c r="C341" s="1" t="s">
        <v>896</v>
      </c>
      <c r="D341" s="1" t="s">
        <v>5</v>
      </c>
      <c r="E341" s="3">
        <v>46258.430555555598</v>
      </c>
      <c r="F341" s="3">
        <v>46258.641666666699</v>
      </c>
      <c r="G341" s="3">
        <v>46258.641666666699</v>
      </c>
      <c r="H341" s="1" t="s">
        <v>42</v>
      </c>
      <c r="I341" s="1" t="s">
        <v>1153</v>
      </c>
      <c r="J341" s="1" t="s">
        <v>1064</v>
      </c>
      <c r="K341" s="1" t="s">
        <v>30</v>
      </c>
      <c r="L341" s="1" t="s">
        <v>31</v>
      </c>
      <c r="M341" s="1" t="s">
        <v>680</v>
      </c>
      <c r="N341" s="4">
        <v>36</v>
      </c>
      <c r="O341" s="1" t="s">
        <v>46</v>
      </c>
      <c r="P341" s="1" t="s">
        <v>1065</v>
      </c>
      <c r="Q341" s="1" t="s">
        <v>145</v>
      </c>
      <c r="R341" s="1" t="s">
        <v>36</v>
      </c>
      <c r="S341" s="5">
        <v>10740</v>
      </c>
      <c r="T341" s="1" t="s">
        <v>1154</v>
      </c>
      <c r="U341" s="1" t="s">
        <v>38</v>
      </c>
      <c r="V341" s="3">
        <v>46258.554861111101</v>
      </c>
      <c r="W341" s="6">
        <f t="shared" si="10"/>
        <v>2</v>
      </c>
      <c r="X341" s="6" t="str">
        <f t="shared" si="11"/>
        <v>Sim</v>
      </c>
    </row>
    <row r="342" spans="1:24" ht="15" customHeight="1" x14ac:dyDescent="0.3">
      <c r="A342" s="1" t="s">
        <v>1155</v>
      </c>
      <c r="B342" s="1" t="s">
        <v>25</v>
      </c>
      <c r="C342" s="1" t="s">
        <v>896</v>
      </c>
      <c r="D342" s="1" t="s">
        <v>5</v>
      </c>
      <c r="E342" s="3">
        <v>46254.395138888904</v>
      </c>
      <c r="F342" s="3">
        <v>46261.5</v>
      </c>
      <c r="G342" s="3">
        <v>46261.5</v>
      </c>
      <c r="H342" s="1" t="s">
        <v>42</v>
      </c>
      <c r="I342" s="1" t="s">
        <v>1156</v>
      </c>
      <c r="J342" s="1" t="s">
        <v>1157</v>
      </c>
      <c r="K342" s="1" t="s">
        <v>30</v>
      </c>
      <c r="L342" s="1" t="s">
        <v>31</v>
      </c>
      <c r="M342" s="1" t="s">
        <v>45</v>
      </c>
      <c r="N342" s="4">
        <v>36</v>
      </c>
      <c r="O342" s="1" t="s">
        <v>46</v>
      </c>
      <c r="P342" s="1" t="s">
        <v>47</v>
      </c>
      <c r="Q342" s="1" t="s">
        <v>35</v>
      </c>
      <c r="R342" s="1" t="s">
        <v>36</v>
      </c>
      <c r="S342" s="5">
        <v>5940</v>
      </c>
      <c r="T342" s="1" t="s">
        <v>1158</v>
      </c>
      <c r="U342" s="1" t="s">
        <v>38</v>
      </c>
      <c r="V342" s="3">
        <v>46254.463888888902</v>
      </c>
      <c r="W342" s="6">
        <f t="shared" si="10"/>
        <v>1</v>
      </c>
      <c r="X342" s="6" t="str">
        <f t="shared" si="11"/>
        <v>Não</v>
      </c>
    </row>
    <row r="343" spans="1:24" ht="15" customHeight="1" x14ac:dyDescent="0.3">
      <c r="A343" s="1" t="s">
        <v>1159</v>
      </c>
      <c r="B343" s="1" t="s">
        <v>25</v>
      </c>
      <c r="C343" s="1" t="s">
        <v>896</v>
      </c>
      <c r="D343" s="1" t="s">
        <v>408</v>
      </c>
      <c r="E343" s="3">
        <v>46205.364583333299</v>
      </c>
      <c r="F343" s="3">
        <v>46205.366666666698</v>
      </c>
      <c r="G343" s="3">
        <v>46205.366666666698</v>
      </c>
      <c r="H343" s="1" t="s">
        <v>42</v>
      </c>
      <c r="I343" s="1" t="s">
        <v>1160</v>
      </c>
      <c r="J343" s="1" t="s">
        <v>918</v>
      </c>
      <c r="K343" s="1" t="s">
        <v>51</v>
      </c>
      <c r="L343" s="1" t="s">
        <v>31</v>
      </c>
      <c r="M343" s="1" t="s">
        <v>32</v>
      </c>
      <c r="N343" s="4">
        <v>36</v>
      </c>
      <c r="O343" s="1" t="s">
        <v>46</v>
      </c>
      <c r="P343" s="1" t="s">
        <v>47</v>
      </c>
      <c r="R343" s="1" t="s">
        <v>36</v>
      </c>
      <c r="S343" s="5">
        <v>180</v>
      </c>
      <c r="U343" s="1" t="s">
        <v>38</v>
      </c>
      <c r="V343" s="3"/>
      <c r="W343" s="6">
        <f t="shared" si="10"/>
        <v>9</v>
      </c>
      <c r="X343" s="6" t="str">
        <f t="shared" si="11"/>
        <v>Sim</v>
      </c>
    </row>
    <row r="344" spans="1:24" ht="15" customHeight="1" x14ac:dyDescent="0.3">
      <c r="A344" s="1" t="s">
        <v>1161</v>
      </c>
      <c r="B344" s="1" t="s">
        <v>25</v>
      </c>
      <c r="C344" s="1" t="s">
        <v>896</v>
      </c>
      <c r="D344" s="1" t="s">
        <v>408</v>
      </c>
      <c r="E344" s="3">
        <v>46227.597222222197</v>
      </c>
      <c r="F344" s="3">
        <v>46227.633333333302</v>
      </c>
      <c r="G344" s="3">
        <v>46227.633333333302</v>
      </c>
      <c r="H344" s="1" t="s">
        <v>42</v>
      </c>
      <c r="I344" s="1" t="s">
        <v>1162</v>
      </c>
      <c r="J344" s="1" t="s">
        <v>698</v>
      </c>
      <c r="K344" s="1" t="s">
        <v>30</v>
      </c>
      <c r="L344" s="1" t="s">
        <v>31</v>
      </c>
      <c r="M344" s="1" t="s">
        <v>45</v>
      </c>
      <c r="N344" s="4">
        <v>36</v>
      </c>
      <c r="O344" s="1" t="s">
        <v>46</v>
      </c>
      <c r="P344" s="1" t="s">
        <v>176</v>
      </c>
      <c r="R344" s="1" t="s">
        <v>36</v>
      </c>
      <c r="S344" s="5">
        <v>3120</v>
      </c>
      <c r="U344" s="1" t="s">
        <v>38</v>
      </c>
      <c r="V344" s="3"/>
      <c r="W344" s="6">
        <f t="shared" si="10"/>
        <v>5</v>
      </c>
      <c r="X344" s="6" t="str">
        <f t="shared" si="11"/>
        <v>Sim</v>
      </c>
    </row>
    <row r="345" spans="1:24" ht="15" customHeight="1" x14ac:dyDescent="0.3">
      <c r="A345" s="1" t="s">
        <v>1163</v>
      </c>
      <c r="B345" s="1" t="s">
        <v>25</v>
      </c>
      <c r="C345" s="1" t="s">
        <v>896</v>
      </c>
      <c r="D345" s="1" t="s">
        <v>408</v>
      </c>
      <c r="E345" s="3">
        <v>46181.340277777803</v>
      </c>
      <c r="F345" s="3">
        <v>46181.370138888902</v>
      </c>
      <c r="G345" s="3">
        <v>46181.370138888902</v>
      </c>
      <c r="H345" s="1" t="s">
        <v>42</v>
      </c>
      <c r="I345" s="1" t="s">
        <v>1164</v>
      </c>
      <c r="J345" s="1" t="s">
        <v>698</v>
      </c>
      <c r="K345" s="1" t="s">
        <v>30</v>
      </c>
      <c r="L345" s="1" t="s">
        <v>31</v>
      </c>
      <c r="M345" s="1" t="s">
        <v>45</v>
      </c>
      <c r="N345" s="4">
        <v>36</v>
      </c>
      <c r="O345" s="1" t="s">
        <v>46</v>
      </c>
      <c r="P345" s="1" t="s">
        <v>176</v>
      </c>
      <c r="R345" s="1" t="s">
        <v>36</v>
      </c>
      <c r="S345" s="5">
        <v>2580</v>
      </c>
      <c r="U345" s="1" t="s">
        <v>38</v>
      </c>
      <c r="V345" s="3"/>
      <c r="W345" s="6">
        <f t="shared" si="10"/>
        <v>5</v>
      </c>
      <c r="X345" s="6" t="str">
        <f t="shared" si="11"/>
        <v>Sim</v>
      </c>
    </row>
    <row r="346" spans="1:24" ht="15" customHeight="1" x14ac:dyDescent="0.3">
      <c r="A346" s="1" t="s">
        <v>1165</v>
      </c>
      <c r="B346" s="1" t="s">
        <v>25</v>
      </c>
      <c r="C346" s="1" t="s">
        <v>896</v>
      </c>
      <c r="D346" s="1" t="s">
        <v>408</v>
      </c>
      <c r="E346" s="3">
        <v>46227.595833333296</v>
      </c>
      <c r="F346" s="3">
        <v>46227.633333333302</v>
      </c>
      <c r="G346" s="3">
        <v>46227.633333333302</v>
      </c>
      <c r="H346" s="1" t="s">
        <v>42</v>
      </c>
      <c r="I346" s="1" t="s">
        <v>1166</v>
      </c>
      <c r="J346" s="1" t="s">
        <v>698</v>
      </c>
      <c r="K346" s="1" t="s">
        <v>51</v>
      </c>
      <c r="L346" s="1" t="s">
        <v>31</v>
      </c>
      <c r="M346" s="1" t="s">
        <v>45</v>
      </c>
      <c r="N346" s="4">
        <v>36</v>
      </c>
      <c r="O346" s="1" t="s">
        <v>46</v>
      </c>
      <c r="P346" s="1" t="s">
        <v>176</v>
      </c>
      <c r="R346" s="1" t="s">
        <v>36</v>
      </c>
      <c r="S346" s="5">
        <v>3240</v>
      </c>
      <c r="U346" s="1" t="s">
        <v>38</v>
      </c>
      <c r="V346" s="3"/>
      <c r="W346" s="6">
        <f t="shared" si="10"/>
        <v>5</v>
      </c>
      <c r="X346" s="6" t="str">
        <f t="shared" si="11"/>
        <v>Sim</v>
      </c>
    </row>
    <row r="347" spans="1:24" ht="15" customHeight="1" x14ac:dyDescent="0.3">
      <c r="A347" s="1" t="s">
        <v>1167</v>
      </c>
      <c r="B347" s="1" t="s">
        <v>25</v>
      </c>
      <c r="C347" s="1" t="s">
        <v>896</v>
      </c>
      <c r="D347" s="1" t="s">
        <v>408</v>
      </c>
      <c r="E347" s="3">
        <v>46198.361111111102</v>
      </c>
      <c r="F347" s="3">
        <v>46199.5805555556</v>
      </c>
      <c r="G347" s="3">
        <v>46199.5805555556</v>
      </c>
      <c r="H347" s="1" t="s">
        <v>42</v>
      </c>
      <c r="I347" s="1" t="s">
        <v>1168</v>
      </c>
      <c r="J347" s="1" t="s">
        <v>308</v>
      </c>
      <c r="K347" s="1" t="s">
        <v>30</v>
      </c>
      <c r="L347" s="1" t="s">
        <v>31</v>
      </c>
      <c r="M347" s="1" t="s">
        <v>32</v>
      </c>
      <c r="N347" s="4">
        <v>36</v>
      </c>
      <c r="O347" s="1" t="s">
        <v>144</v>
      </c>
      <c r="P347" s="1" t="s">
        <v>47</v>
      </c>
      <c r="R347" s="1" t="s">
        <v>36</v>
      </c>
      <c r="S347" s="5">
        <v>105360</v>
      </c>
      <c r="U347" s="1" t="s">
        <v>38</v>
      </c>
      <c r="V347" s="3"/>
      <c r="W347" s="6">
        <f t="shared" si="10"/>
        <v>1</v>
      </c>
      <c r="X347" s="6" t="str">
        <f t="shared" si="11"/>
        <v>Não</v>
      </c>
    </row>
    <row r="348" spans="1:24" ht="15" customHeight="1" x14ac:dyDescent="0.3">
      <c r="A348" s="1" t="s">
        <v>1169</v>
      </c>
      <c r="B348" s="1" t="s">
        <v>25</v>
      </c>
      <c r="C348" s="1" t="s">
        <v>896</v>
      </c>
      <c r="D348" s="1" t="s">
        <v>408</v>
      </c>
      <c r="E348" s="3">
        <v>46198.623611111099</v>
      </c>
      <c r="F348" s="3">
        <v>46203.347916666702</v>
      </c>
      <c r="G348" s="3">
        <v>46203.347916666702</v>
      </c>
      <c r="H348" s="1" t="s">
        <v>42</v>
      </c>
      <c r="I348" s="1" t="s">
        <v>1170</v>
      </c>
      <c r="J348" s="1" t="s">
        <v>675</v>
      </c>
      <c r="K348" s="1" t="s">
        <v>30</v>
      </c>
      <c r="L348" s="1" t="s">
        <v>31</v>
      </c>
      <c r="M348" s="1" t="s">
        <v>45</v>
      </c>
      <c r="N348" s="4">
        <v>36</v>
      </c>
      <c r="O348" s="1" t="s">
        <v>246</v>
      </c>
      <c r="P348" s="1" t="s">
        <v>47</v>
      </c>
      <c r="R348" s="1" t="s">
        <v>36</v>
      </c>
      <c r="S348" s="5">
        <v>408180</v>
      </c>
      <c r="U348" s="1" t="s">
        <v>38</v>
      </c>
      <c r="V348" s="3"/>
      <c r="W348" s="6">
        <f t="shared" si="10"/>
        <v>4</v>
      </c>
      <c r="X348" s="6" t="str">
        <f t="shared" si="11"/>
        <v>Sim</v>
      </c>
    </row>
    <row r="349" spans="1:24" ht="15" customHeight="1" x14ac:dyDescent="0.3">
      <c r="A349" s="1" t="s">
        <v>1171</v>
      </c>
      <c r="B349" s="1" t="s">
        <v>25</v>
      </c>
      <c r="C349" s="1" t="s">
        <v>896</v>
      </c>
      <c r="D349" s="1" t="s">
        <v>408</v>
      </c>
      <c r="E349" s="3">
        <v>46254.440972222197</v>
      </c>
      <c r="F349" s="3">
        <v>46258.4375</v>
      </c>
      <c r="G349" s="3">
        <v>46258.4375</v>
      </c>
      <c r="H349" s="1" t="s">
        <v>42</v>
      </c>
      <c r="I349" s="1" t="s">
        <v>1172</v>
      </c>
      <c r="J349" s="1" t="s">
        <v>1173</v>
      </c>
      <c r="K349" s="1" t="s">
        <v>30</v>
      </c>
      <c r="L349" s="1" t="s">
        <v>31</v>
      </c>
      <c r="M349" s="1" t="s">
        <v>680</v>
      </c>
      <c r="N349" s="4">
        <v>36</v>
      </c>
      <c r="O349" s="1" t="s">
        <v>46</v>
      </c>
      <c r="P349" s="1" t="s">
        <v>47</v>
      </c>
      <c r="R349" s="1" t="s">
        <v>36</v>
      </c>
      <c r="S349" s="5">
        <v>345300</v>
      </c>
      <c r="U349" s="1" t="s">
        <v>38</v>
      </c>
      <c r="V349" s="3"/>
      <c r="W349" s="6">
        <f t="shared" si="10"/>
        <v>1</v>
      </c>
      <c r="X349" s="6" t="str">
        <f t="shared" si="11"/>
        <v>Não</v>
      </c>
    </row>
    <row r="350" spans="1:24" ht="15" customHeight="1" x14ac:dyDescent="0.3">
      <c r="A350" s="1" t="s">
        <v>907</v>
      </c>
      <c r="B350" s="1" t="s">
        <v>25</v>
      </c>
      <c r="C350" s="1" t="s">
        <v>896</v>
      </c>
      <c r="D350" s="1" t="s">
        <v>408</v>
      </c>
      <c r="E350" s="3">
        <v>46274.713194444397</v>
      </c>
      <c r="F350" s="3">
        <v>46274.725694444503</v>
      </c>
      <c r="G350" s="3">
        <v>46274.725694444503</v>
      </c>
      <c r="H350" s="1" t="s">
        <v>42</v>
      </c>
      <c r="I350" s="1" t="s">
        <v>1174</v>
      </c>
      <c r="J350" s="1" t="s">
        <v>1104</v>
      </c>
      <c r="K350" s="1" t="s">
        <v>30</v>
      </c>
      <c r="L350" s="1" t="s">
        <v>31</v>
      </c>
      <c r="M350" s="1" t="s">
        <v>45</v>
      </c>
      <c r="N350" s="4">
        <v>36</v>
      </c>
      <c r="O350" s="1" t="s">
        <v>46</v>
      </c>
      <c r="P350" s="1" t="s">
        <v>47</v>
      </c>
      <c r="R350" s="1" t="s">
        <v>36</v>
      </c>
      <c r="S350" s="5">
        <v>1080</v>
      </c>
      <c r="U350" s="1" t="s">
        <v>38</v>
      </c>
      <c r="V350" s="3"/>
      <c r="W350" s="6">
        <f t="shared" si="10"/>
        <v>3</v>
      </c>
      <c r="X350" s="6" t="str">
        <f t="shared" si="11"/>
        <v>Sim</v>
      </c>
    </row>
    <row r="351" spans="1:24" ht="15" customHeight="1" x14ac:dyDescent="0.3">
      <c r="A351" s="1" t="s">
        <v>1165</v>
      </c>
      <c r="B351" s="1" t="s">
        <v>25</v>
      </c>
      <c r="C351" s="1" t="s">
        <v>896</v>
      </c>
      <c r="D351" s="1" t="s">
        <v>408</v>
      </c>
      <c r="E351" s="3">
        <v>46227.593055555597</v>
      </c>
      <c r="F351" s="3">
        <v>46227.632638888899</v>
      </c>
      <c r="G351" s="3">
        <v>46227.632638888899</v>
      </c>
      <c r="H351" s="1" t="s">
        <v>42</v>
      </c>
      <c r="I351" s="1" t="s">
        <v>1175</v>
      </c>
      <c r="J351" s="1" t="s">
        <v>698</v>
      </c>
      <c r="K351" s="1" t="s">
        <v>30</v>
      </c>
      <c r="L351" s="1" t="s">
        <v>31</v>
      </c>
      <c r="M351" s="1" t="s">
        <v>45</v>
      </c>
      <c r="N351" s="4">
        <v>36</v>
      </c>
      <c r="O351" s="1" t="s">
        <v>46</v>
      </c>
      <c r="P351" s="1" t="s">
        <v>176</v>
      </c>
      <c r="R351" s="1" t="s">
        <v>36</v>
      </c>
      <c r="S351" s="5">
        <v>3420</v>
      </c>
      <c r="U351" s="1" t="s">
        <v>38</v>
      </c>
      <c r="V351" s="3"/>
      <c r="W351" s="6">
        <f t="shared" si="10"/>
        <v>5</v>
      </c>
      <c r="X351" s="6" t="str">
        <f t="shared" si="11"/>
        <v>Sim</v>
      </c>
    </row>
    <row r="352" spans="1:24" ht="15" customHeight="1" x14ac:dyDescent="0.3">
      <c r="A352" s="1" t="s">
        <v>1176</v>
      </c>
      <c r="B352" s="1" t="s">
        <v>25</v>
      </c>
      <c r="C352" s="1" t="s">
        <v>896</v>
      </c>
      <c r="D352" s="1" t="s">
        <v>408</v>
      </c>
      <c r="E352" s="3">
        <v>46185.660416666702</v>
      </c>
      <c r="F352" s="3">
        <v>46189.375694444498</v>
      </c>
      <c r="G352" s="3">
        <v>46189.375694444498</v>
      </c>
      <c r="H352" s="1" t="s">
        <v>42</v>
      </c>
      <c r="I352" s="1" t="s">
        <v>1177</v>
      </c>
      <c r="J352" s="1" t="s">
        <v>1027</v>
      </c>
      <c r="K352" s="1" t="s">
        <v>30</v>
      </c>
      <c r="L352" s="1" t="s">
        <v>31</v>
      </c>
      <c r="M352" s="1" t="s">
        <v>45</v>
      </c>
      <c r="N352" s="4">
        <v>36</v>
      </c>
      <c r="O352" s="1" t="s">
        <v>46</v>
      </c>
      <c r="P352" s="1" t="s">
        <v>47</v>
      </c>
      <c r="R352" s="1" t="s">
        <v>36</v>
      </c>
      <c r="S352" s="5">
        <v>321000</v>
      </c>
      <c r="U352" s="1" t="s">
        <v>38</v>
      </c>
      <c r="V352" s="3"/>
      <c r="W352" s="6">
        <f t="shared" si="10"/>
        <v>2</v>
      </c>
      <c r="X352" s="6" t="str">
        <f t="shared" si="11"/>
        <v>Sim</v>
      </c>
    </row>
    <row r="353" spans="1:24" ht="15" customHeight="1" x14ac:dyDescent="0.3">
      <c r="A353" s="1" t="s">
        <v>1178</v>
      </c>
      <c r="B353" s="1" t="s">
        <v>25</v>
      </c>
      <c r="C353" s="1" t="s">
        <v>896</v>
      </c>
      <c r="D353" s="1" t="s">
        <v>408</v>
      </c>
      <c r="E353" s="3">
        <v>46230.348611111098</v>
      </c>
      <c r="F353" s="3">
        <v>46230.385416666701</v>
      </c>
      <c r="G353" s="3">
        <v>46230.385416666701</v>
      </c>
      <c r="H353" s="1" t="s">
        <v>42</v>
      </c>
      <c r="I353" s="1" t="s">
        <v>1179</v>
      </c>
      <c r="J353" s="1" t="s">
        <v>930</v>
      </c>
      <c r="K353" s="1" t="s">
        <v>30</v>
      </c>
      <c r="L353" s="1" t="s">
        <v>31</v>
      </c>
      <c r="M353" s="1" t="s">
        <v>45</v>
      </c>
      <c r="N353" s="4">
        <v>36</v>
      </c>
      <c r="O353" s="1" t="s">
        <v>46</v>
      </c>
      <c r="P353" s="1" t="s">
        <v>176</v>
      </c>
      <c r="R353" s="1" t="s">
        <v>36</v>
      </c>
      <c r="S353" s="5">
        <v>3180</v>
      </c>
      <c r="U353" s="1" t="s">
        <v>38</v>
      </c>
      <c r="V353" s="3"/>
      <c r="W353" s="6">
        <f t="shared" si="10"/>
        <v>2</v>
      </c>
      <c r="X353" s="6" t="str">
        <f t="shared" si="11"/>
        <v>Sim</v>
      </c>
    </row>
    <row r="354" spans="1:24" ht="15" customHeight="1" x14ac:dyDescent="0.3">
      <c r="A354" s="1" t="s">
        <v>1180</v>
      </c>
      <c r="B354" s="1" t="s">
        <v>25</v>
      </c>
      <c r="C354" s="1" t="s">
        <v>896</v>
      </c>
      <c r="D354" s="1" t="s">
        <v>408</v>
      </c>
      <c r="E354" s="3">
        <v>46218.142361111102</v>
      </c>
      <c r="F354" s="3">
        <v>46219.595833333296</v>
      </c>
      <c r="G354" s="3">
        <v>46219.595833333296</v>
      </c>
      <c r="H354" s="1" t="s">
        <v>42</v>
      </c>
      <c r="I354" s="1" t="s">
        <v>1181</v>
      </c>
      <c r="J354" s="1" t="s">
        <v>1182</v>
      </c>
      <c r="K354" s="1" t="s">
        <v>30</v>
      </c>
      <c r="L354" s="1" t="s">
        <v>31</v>
      </c>
      <c r="M354" s="1" t="s">
        <v>680</v>
      </c>
      <c r="N354" s="4">
        <v>36</v>
      </c>
      <c r="O354" s="1" t="s">
        <v>46</v>
      </c>
      <c r="P354" s="1" t="s">
        <v>447</v>
      </c>
      <c r="R354" s="1" t="s">
        <v>36</v>
      </c>
      <c r="S354" s="5">
        <v>125580</v>
      </c>
      <c r="U354" s="1" t="s">
        <v>38</v>
      </c>
      <c r="V354" s="3"/>
      <c r="W354" s="6">
        <f t="shared" si="10"/>
        <v>1</v>
      </c>
      <c r="X354" s="6" t="str">
        <f t="shared" si="11"/>
        <v>Não</v>
      </c>
    </row>
    <row r="355" spans="1:24" ht="15" customHeight="1" x14ac:dyDescent="0.3">
      <c r="A355" s="1" t="s">
        <v>1183</v>
      </c>
      <c r="B355" s="1" t="s">
        <v>25</v>
      </c>
      <c r="C355" s="1" t="s">
        <v>1184</v>
      </c>
      <c r="D355" s="1" t="s">
        <v>21</v>
      </c>
      <c r="E355" s="3">
        <v>46274.326388888898</v>
      </c>
      <c r="F355" s="3"/>
      <c r="G355" s="3">
        <v>46274.465277777803</v>
      </c>
      <c r="H355" s="1" t="s">
        <v>42</v>
      </c>
      <c r="I355" s="1" t="s">
        <v>1185</v>
      </c>
      <c r="J355" s="1" t="s">
        <v>214</v>
      </c>
      <c r="K355" s="1" t="s">
        <v>51</v>
      </c>
      <c r="L355" s="1" t="s">
        <v>31</v>
      </c>
      <c r="M355" s="1" t="s">
        <v>680</v>
      </c>
      <c r="N355" s="4">
        <v>36</v>
      </c>
      <c r="O355" s="1" t="s">
        <v>46</v>
      </c>
      <c r="P355" s="1" t="s">
        <v>47</v>
      </c>
      <c r="Q355" s="1" t="s">
        <v>145</v>
      </c>
      <c r="R355" s="1" t="s">
        <v>36</v>
      </c>
      <c r="S355" s="5">
        <v>12000</v>
      </c>
      <c r="T355" s="1" t="s">
        <v>1186</v>
      </c>
      <c r="U355" s="1" t="s">
        <v>38</v>
      </c>
      <c r="V355" s="3">
        <v>46274.465277777803</v>
      </c>
      <c r="W355" s="6">
        <f t="shared" si="10"/>
        <v>10</v>
      </c>
      <c r="X355" s="6" t="str">
        <f t="shared" si="11"/>
        <v>Sim</v>
      </c>
    </row>
    <row r="356" spans="1:24" ht="15" customHeight="1" x14ac:dyDescent="0.3">
      <c r="A356" s="1" t="s">
        <v>1187</v>
      </c>
      <c r="B356" s="1" t="s">
        <v>25</v>
      </c>
      <c r="C356" s="1" t="s">
        <v>1184</v>
      </c>
      <c r="D356" s="1" t="s">
        <v>21</v>
      </c>
      <c r="E356" s="3">
        <v>46269.470138888901</v>
      </c>
      <c r="F356" s="3"/>
      <c r="G356" s="3">
        <v>46269.626388888901</v>
      </c>
      <c r="H356" s="1" t="s">
        <v>42</v>
      </c>
      <c r="I356" s="1" t="s">
        <v>1188</v>
      </c>
      <c r="J356" s="1" t="s">
        <v>214</v>
      </c>
      <c r="K356" s="1" t="s">
        <v>30</v>
      </c>
      <c r="L356" s="1" t="s">
        <v>31</v>
      </c>
      <c r="M356" s="1" t="s">
        <v>680</v>
      </c>
      <c r="N356" s="4">
        <v>36</v>
      </c>
      <c r="O356" s="1" t="s">
        <v>46</v>
      </c>
      <c r="P356" s="1" t="s">
        <v>47</v>
      </c>
      <c r="Q356" s="1" t="s">
        <v>145</v>
      </c>
      <c r="R356" s="1" t="s">
        <v>36</v>
      </c>
      <c r="S356" s="5">
        <v>13500</v>
      </c>
      <c r="T356" s="1" t="s">
        <v>1189</v>
      </c>
      <c r="U356" s="1" t="s">
        <v>38</v>
      </c>
      <c r="V356" s="3">
        <v>46269.626388888901</v>
      </c>
      <c r="W356" s="6">
        <f t="shared" si="10"/>
        <v>10</v>
      </c>
      <c r="X356" s="6" t="str">
        <f t="shared" si="11"/>
        <v>Sim</v>
      </c>
    </row>
    <row r="357" spans="1:24" ht="15" customHeight="1" x14ac:dyDescent="0.3">
      <c r="A357" s="1" t="s">
        <v>1190</v>
      </c>
      <c r="B357" s="1" t="s">
        <v>25</v>
      </c>
      <c r="C357" s="1" t="s">
        <v>1184</v>
      </c>
      <c r="D357" s="1" t="s">
        <v>21</v>
      </c>
      <c r="E357" s="3">
        <v>46273.527083333298</v>
      </c>
      <c r="F357" s="3"/>
      <c r="G357" s="3">
        <v>46274.440972222197</v>
      </c>
      <c r="H357" s="1" t="s">
        <v>42</v>
      </c>
      <c r="I357" s="1" t="s">
        <v>1191</v>
      </c>
      <c r="J357" s="1" t="s">
        <v>1192</v>
      </c>
      <c r="K357" s="1" t="s">
        <v>30</v>
      </c>
      <c r="L357" s="1" t="s">
        <v>31</v>
      </c>
      <c r="M357" s="1" t="s">
        <v>45</v>
      </c>
      <c r="N357" s="4">
        <v>36</v>
      </c>
      <c r="O357" s="1" t="s">
        <v>46</v>
      </c>
      <c r="P357" s="1" t="s">
        <v>47</v>
      </c>
      <c r="Q357" s="1" t="s">
        <v>68</v>
      </c>
      <c r="R357" s="1" t="s">
        <v>36</v>
      </c>
      <c r="S357" s="5">
        <v>78960</v>
      </c>
      <c r="T357" s="1" t="s">
        <v>1193</v>
      </c>
      <c r="U357" s="1" t="s">
        <v>38</v>
      </c>
      <c r="V357" s="3">
        <v>46274.440972222197</v>
      </c>
      <c r="W357" s="6">
        <f t="shared" si="10"/>
        <v>3</v>
      </c>
      <c r="X357" s="6" t="str">
        <f t="shared" si="11"/>
        <v>Sim</v>
      </c>
    </row>
    <row r="358" spans="1:24" ht="15" customHeight="1" x14ac:dyDescent="0.3">
      <c r="A358" s="1" t="s">
        <v>1194</v>
      </c>
      <c r="B358" s="1" t="s">
        <v>25</v>
      </c>
      <c r="C358" s="1" t="s">
        <v>1184</v>
      </c>
      <c r="D358" s="1" t="s">
        <v>5</v>
      </c>
      <c r="E358" s="3">
        <v>46220.403472222199</v>
      </c>
      <c r="F358" s="3">
        <v>46231.459027777797</v>
      </c>
      <c r="G358" s="3">
        <v>46231.459027777797</v>
      </c>
      <c r="H358" s="1" t="s">
        <v>42</v>
      </c>
      <c r="I358" s="1" t="s">
        <v>1195</v>
      </c>
      <c r="J358" s="1" t="s">
        <v>308</v>
      </c>
      <c r="K358" s="1" t="s">
        <v>30</v>
      </c>
      <c r="L358" s="1" t="s">
        <v>31</v>
      </c>
      <c r="M358" s="1" t="s">
        <v>680</v>
      </c>
      <c r="N358" s="4">
        <v>36</v>
      </c>
      <c r="O358" s="1" t="s">
        <v>46</v>
      </c>
      <c r="P358" s="1" t="s">
        <v>47</v>
      </c>
      <c r="Q358" s="1" t="s">
        <v>35</v>
      </c>
      <c r="R358" s="1" t="s">
        <v>36</v>
      </c>
      <c r="S358" s="5">
        <v>349920</v>
      </c>
      <c r="T358" s="1" t="s">
        <v>1196</v>
      </c>
      <c r="U358" s="1" t="s">
        <v>38</v>
      </c>
      <c r="V358" s="3">
        <v>46224.453472222202</v>
      </c>
      <c r="W358" s="6">
        <f t="shared" si="10"/>
        <v>1</v>
      </c>
      <c r="X358" s="6" t="str">
        <f t="shared" si="11"/>
        <v>Não</v>
      </c>
    </row>
    <row r="359" spans="1:24" ht="15" customHeight="1" x14ac:dyDescent="0.3">
      <c r="A359" s="1" t="s">
        <v>1197</v>
      </c>
      <c r="B359" s="1" t="s">
        <v>25</v>
      </c>
      <c r="C359" s="1" t="s">
        <v>1184</v>
      </c>
      <c r="D359" s="1" t="s">
        <v>5</v>
      </c>
      <c r="E359" s="3">
        <v>46213.586111111101</v>
      </c>
      <c r="F359" s="3">
        <v>46231.5</v>
      </c>
      <c r="G359" s="3">
        <v>46231.5</v>
      </c>
      <c r="H359" s="1" t="s">
        <v>42</v>
      </c>
      <c r="I359" s="1" t="s">
        <v>1198</v>
      </c>
      <c r="J359" s="1" t="s">
        <v>665</v>
      </c>
      <c r="K359" s="1" t="s">
        <v>51</v>
      </c>
      <c r="L359" s="1" t="s">
        <v>31</v>
      </c>
      <c r="M359" s="1" t="s">
        <v>45</v>
      </c>
      <c r="N359" s="4">
        <v>36</v>
      </c>
      <c r="O359" s="1" t="s">
        <v>46</v>
      </c>
      <c r="P359" s="1" t="s">
        <v>47</v>
      </c>
      <c r="Q359" s="1" t="s">
        <v>35</v>
      </c>
      <c r="R359" s="1" t="s">
        <v>36</v>
      </c>
      <c r="S359" s="5">
        <v>940500</v>
      </c>
      <c r="T359" s="1" t="s">
        <v>1199</v>
      </c>
      <c r="U359" s="1" t="s">
        <v>38</v>
      </c>
      <c r="V359" s="3">
        <v>46224.471527777801</v>
      </c>
      <c r="W359" s="6">
        <f t="shared" si="10"/>
        <v>1</v>
      </c>
      <c r="X359" s="6" t="str">
        <f t="shared" si="11"/>
        <v>Não</v>
      </c>
    </row>
    <row r="360" spans="1:24" ht="15" customHeight="1" x14ac:dyDescent="0.3">
      <c r="A360" s="1" t="s">
        <v>1200</v>
      </c>
      <c r="B360" s="1" t="s">
        <v>25</v>
      </c>
      <c r="C360" s="1" t="s">
        <v>1184</v>
      </c>
      <c r="D360" s="1" t="s">
        <v>5</v>
      </c>
      <c r="E360" s="3">
        <v>46217.338888888902</v>
      </c>
      <c r="F360" s="3">
        <v>46224.666666666701</v>
      </c>
      <c r="G360" s="3">
        <v>46224.666666666701</v>
      </c>
      <c r="H360" s="1" t="s">
        <v>42</v>
      </c>
      <c r="I360" s="1" t="s">
        <v>1201</v>
      </c>
      <c r="J360" s="1" t="s">
        <v>1192</v>
      </c>
      <c r="K360" s="1" t="s">
        <v>30</v>
      </c>
      <c r="L360" s="1" t="s">
        <v>31</v>
      </c>
      <c r="M360" s="1" t="s">
        <v>680</v>
      </c>
      <c r="N360" s="4">
        <v>36</v>
      </c>
      <c r="O360" s="1" t="s">
        <v>46</v>
      </c>
      <c r="P360" s="1" t="s">
        <v>47</v>
      </c>
      <c r="Q360" s="1" t="s">
        <v>88</v>
      </c>
      <c r="R360" s="1" t="s">
        <v>36</v>
      </c>
      <c r="S360" s="5">
        <v>25140</v>
      </c>
      <c r="T360" s="1" t="s">
        <v>1202</v>
      </c>
      <c r="U360" s="1" t="s">
        <v>38</v>
      </c>
      <c r="V360" s="3">
        <v>46217.629861111098</v>
      </c>
      <c r="W360" s="6">
        <f t="shared" si="10"/>
        <v>3</v>
      </c>
      <c r="X360" s="6" t="str">
        <f t="shared" si="11"/>
        <v>Sim</v>
      </c>
    </row>
    <row r="361" spans="1:24" ht="15" customHeight="1" x14ac:dyDescent="0.3">
      <c r="A361" s="1" t="s">
        <v>1203</v>
      </c>
      <c r="B361" s="1" t="s">
        <v>25</v>
      </c>
      <c r="C361" s="1" t="s">
        <v>1184</v>
      </c>
      <c r="D361" s="1" t="s">
        <v>5</v>
      </c>
      <c r="E361" s="3">
        <v>46217.351388888899</v>
      </c>
      <c r="F361" s="3">
        <v>46224.668055555601</v>
      </c>
      <c r="G361" s="3">
        <v>46224.668055555601</v>
      </c>
      <c r="H361" s="1" t="s">
        <v>42</v>
      </c>
      <c r="I361" s="1" t="s">
        <v>1204</v>
      </c>
      <c r="J361" s="1" t="s">
        <v>1192</v>
      </c>
      <c r="K361" s="1" t="s">
        <v>30</v>
      </c>
      <c r="L361" s="1" t="s">
        <v>31</v>
      </c>
      <c r="M361" s="1" t="s">
        <v>680</v>
      </c>
      <c r="N361" s="4">
        <v>36</v>
      </c>
      <c r="O361" s="1" t="s">
        <v>46</v>
      </c>
      <c r="P361" s="1" t="s">
        <v>47</v>
      </c>
      <c r="Q361" s="1" t="s">
        <v>145</v>
      </c>
      <c r="R361" s="1" t="s">
        <v>36</v>
      </c>
      <c r="S361" s="5">
        <v>24180</v>
      </c>
      <c r="T361" s="1" t="s">
        <v>1205</v>
      </c>
      <c r="U361" s="1" t="s">
        <v>38</v>
      </c>
      <c r="V361" s="3">
        <v>46217.631249999999</v>
      </c>
      <c r="W361" s="6">
        <f t="shared" si="10"/>
        <v>3</v>
      </c>
      <c r="X361" s="6" t="str">
        <f t="shared" si="11"/>
        <v>Sim</v>
      </c>
    </row>
    <row r="362" spans="1:24" ht="15" customHeight="1" x14ac:dyDescent="0.3">
      <c r="A362" s="1" t="s">
        <v>1206</v>
      </c>
      <c r="B362" s="1" t="s">
        <v>25</v>
      </c>
      <c r="C362" s="1" t="s">
        <v>1184</v>
      </c>
      <c r="D362" s="1" t="s">
        <v>5</v>
      </c>
      <c r="E362" s="3">
        <v>46192.418749999997</v>
      </c>
      <c r="F362" s="3">
        <v>46199.708333333299</v>
      </c>
      <c r="G362" s="3">
        <v>46199.708333333299</v>
      </c>
      <c r="H362" s="1" t="s">
        <v>42</v>
      </c>
      <c r="I362" s="1" t="s">
        <v>1207</v>
      </c>
      <c r="J362" s="1" t="s">
        <v>221</v>
      </c>
      <c r="K362" s="1" t="s">
        <v>30</v>
      </c>
      <c r="L362" s="1" t="s">
        <v>31</v>
      </c>
      <c r="M362" s="1" t="s">
        <v>45</v>
      </c>
      <c r="N362" s="4">
        <v>36</v>
      </c>
      <c r="O362" s="1" t="s">
        <v>87</v>
      </c>
      <c r="P362" s="1" t="s">
        <v>47</v>
      </c>
      <c r="Q362" s="1" t="s">
        <v>68</v>
      </c>
      <c r="R362" s="1" t="s">
        <v>36</v>
      </c>
      <c r="S362" s="5">
        <v>24840</v>
      </c>
      <c r="T362" s="1" t="s">
        <v>1208</v>
      </c>
      <c r="U362" s="1" t="s">
        <v>38</v>
      </c>
      <c r="V362" s="3">
        <v>46192.706250000003</v>
      </c>
      <c r="W362" s="6">
        <f t="shared" si="10"/>
        <v>8</v>
      </c>
      <c r="X362" s="6" t="str">
        <f t="shared" si="11"/>
        <v>Sim</v>
      </c>
    </row>
    <row r="363" spans="1:24" ht="15" customHeight="1" x14ac:dyDescent="0.3">
      <c r="A363" s="1" t="s">
        <v>1209</v>
      </c>
      <c r="B363" s="1" t="s">
        <v>25</v>
      </c>
      <c r="C363" s="1" t="s">
        <v>1184</v>
      </c>
      <c r="D363" s="1" t="s">
        <v>5</v>
      </c>
      <c r="E363" s="3">
        <v>46259.322222222203</v>
      </c>
      <c r="F363" s="3">
        <v>46266.458333333299</v>
      </c>
      <c r="G363" s="3">
        <v>46266.458333333299</v>
      </c>
      <c r="H363" s="1" t="s">
        <v>42</v>
      </c>
      <c r="I363" s="1" t="s">
        <v>1210</v>
      </c>
      <c r="J363" s="1" t="s">
        <v>214</v>
      </c>
      <c r="K363" s="1" t="s">
        <v>30</v>
      </c>
      <c r="L363" s="1" t="s">
        <v>31</v>
      </c>
      <c r="M363" s="1" t="s">
        <v>45</v>
      </c>
      <c r="N363" s="4">
        <v>36</v>
      </c>
      <c r="O363" s="1" t="s">
        <v>46</v>
      </c>
      <c r="P363" s="1" t="s">
        <v>47</v>
      </c>
      <c r="Q363" s="1" t="s">
        <v>68</v>
      </c>
      <c r="R363" s="1" t="s">
        <v>36</v>
      </c>
      <c r="S363" s="5">
        <v>8640</v>
      </c>
      <c r="T363" s="1" t="s">
        <v>1211</v>
      </c>
      <c r="U363" s="1" t="s">
        <v>38</v>
      </c>
      <c r="V363" s="3">
        <v>46259.422222222202</v>
      </c>
      <c r="W363" s="6">
        <f t="shared" si="10"/>
        <v>10</v>
      </c>
      <c r="X363" s="6" t="str">
        <f t="shared" si="11"/>
        <v>Sim</v>
      </c>
    </row>
    <row r="364" spans="1:24" ht="15" customHeight="1" x14ac:dyDescent="0.3">
      <c r="A364" s="1" t="s">
        <v>1212</v>
      </c>
      <c r="B364" s="1" t="s">
        <v>25</v>
      </c>
      <c r="C364" s="1" t="s">
        <v>1184</v>
      </c>
      <c r="D364" s="1" t="s">
        <v>5</v>
      </c>
      <c r="E364" s="3">
        <v>46217.597222222197</v>
      </c>
      <c r="F364" s="3">
        <v>46224.708333333299</v>
      </c>
      <c r="G364" s="3">
        <v>46224.708333333299</v>
      </c>
      <c r="H364" s="1" t="s">
        <v>42</v>
      </c>
      <c r="I364" s="1" t="s">
        <v>1213</v>
      </c>
      <c r="J364" s="1" t="s">
        <v>1214</v>
      </c>
      <c r="K364" s="1" t="s">
        <v>30</v>
      </c>
      <c r="L364" s="1" t="s">
        <v>31</v>
      </c>
      <c r="M364" s="1" t="s">
        <v>32</v>
      </c>
      <c r="N364" s="4">
        <v>36</v>
      </c>
      <c r="O364" s="1" t="s">
        <v>46</v>
      </c>
      <c r="P364" s="1" t="s">
        <v>447</v>
      </c>
      <c r="Q364" s="1" t="s">
        <v>35</v>
      </c>
      <c r="R364" s="1" t="s">
        <v>36</v>
      </c>
      <c r="S364" s="5">
        <v>8340</v>
      </c>
      <c r="T364" s="1" t="s">
        <v>1215</v>
      </c>
      <c r="U364" s="1" t="s">
        <v>38</v>
      </c>
      <c r="V364" s="3">
        <v>46217.693749999999</v>
      </c>
      <c r="W364" s="6">
        <f t="shared" si="10"/>
        <v>1</v>
      </c>
      <c r="X364" s="6" t="str">
        <f t="shared" si="11"/>
        <v>Não</v>
      </c>
    </row>
    <row r="365" spans="1:24" ht="15" customHeight="1" x14ac:dyDescent="0.3">
      <c r="A365" s="1" t="s">
        <v>1216</v>
      </c>
      <c r="B365" s="1" t="s">
        <v>25</v>
      </c>
      <c r="C365" s="1" t="s">
        <v>1184</v>
      </c>
      <c r="D365" s="1" t="s">
        <v>5</v>
      </c>
      <c r="E365" s="3">
        <v>46227.870833333298</v>
      </c>
      <c r="F365" s="3">
        <v>46239.375</v>
      </c>
      <c r="G365" s="3">
        <v>46239.375</v>
      </c>
      <c r="H365" s="1" t="s">
        <v>42</v>
      </c>
      <c r="I365" s="1" t="s">
        <v>1217</v>
      </c>
      <c r="J365" s="1" t="s">
        <v>1218</v>
      </c>
      <c r="K365" s="1" t="s">
        <v>30</v>
      </c>
      <c r="L365" s="1" t="s">
        <v>31</v>
      </c>
      <c r="M365" s="1" t="s">
        <v>680</v>
      </c>
      <c r="N365" s="4">
        <v>36</v>
      </c>
      <c r="O365" s="1" t="s">
        <v>46</v>
      </c>
      <c r="P365" s="1" t="s">
        <v>47</v>
      </c>
      <c r="Q365" s="1" t="s">
        <v>68</v>
      </c>
      <c r="R365" s="1" t="s">
        <v>36</v>
      </c>
      <c r="S365" s="5">
        <v>388860</v>
      </c>
      <c r="T365" s="1" t="s">
        <v>1219</v>
      </c>
      <c r="U365" s="1" t="s">
        <v>38</v>
      </c>
      <c r="V365" s="3">
        <v>46232.371527777803</v>
      </c>
      <c r="W365" s="6">
        <f t="shared" si="10"/>
        <v>1</v>
      </c>
      <c r="X365" s="6" t="str">
        <f t="shared" si="11"/>
        <v>Não</v>
      </c>
    </row>
    <row r="366" spans="1:24" ht="15" customHeight="1" x14ac:dyDescent="0.3">
      <c r="A366" s="1" t="s">
        <v>1220</v>
      </c>
      <c r="B366" s="1" t="s">
        <v>25</v>
      </c>
      <c r="C366" s="1" t="s">
        <v>1184</v>
      </c>
      <c r="D366" s="1" t="s">
        <v>5</v>
      </c>
      <c r="E366" s="3">
        <v>46197.390277777798</v>
      </c>
      <c r="F366" s="3">
        <v>46209.417361111096</v>
      </c>
      <c r="G366" s="3">
        <v>46209.417361111096</v>
      </c>
      <c r="H366" s="1" t="s">
        <v>42</v>
      </c>
      <c r="I366" s="1" t="s">
        <v>1221</v>
      </c>
      <c r="J366" s="1" t="s">
        <v>221</v>
      </c>
      <c r="K366" s="1" t="s">
        <v>30</v>
      </c>
      <c r="L366" s="1" t="s">
        <v>31</v>
      </c>
      <c r="M366" s="1" t="s">
        <v>45</v>
      </c>
      <c r="N366" s="4">
        <v>36</v>
      </c>
      <c r="O366" s="1" t="s">
        <v>87</v>
      </c>
      <c r="P366" s="1" t="s">
        <v>47</v>
      </c>
      <c r="Q366" s="1" t="s">
        <v>68</v>
      </c>
      <c r="R366" s="1" t="s">
        <v>36</v>
      </c>
      <c r="S366" s="5">
        <v>433020</v>
      </c>
      <c r="T366" s="1" t="s">
        <v>1222</v>
      </c>
      <c r="U366" s="1" t="s">
        <v>38</v>
      </c>
      <c r="V366" s="3">
        <v>46202.402083333298</v>
      </c>
      <c r="W366" s="6">
        <f t="shared" si="10"/>
        <v>8</v>
      </c>
      <c r="X366" s="6" t="str">
        <f t="shared" si="11"/>
        <v>Sim</v>
      </c>
    </row>
    <row r="367" spans="1:24" ht="15" customHeight="1" x14ac:dyDescent="0.3">
      <c r="A367" s="1" t="s">
        <v>1223</v>
      </c>
      <c r="B367" s="1" t="s">
        <v>25</v>
      </c>
      <c r="C367" s="1" t="s">
        <v>1184</v>
      </c>
      <c r="D367" s="1" t="s">
        <v>5</v>
      </c>
      <c r="E367" s="3">
        <v>46199.756944444503</v>
      </c>
      <c r="F367" s="3">
        <v>46209.5</v>
      </c>
      <c r="G367" s="3">
        <v>46209.5</v>
      </c>
      <c r="H367" s="1" t="s">
        <v>42</v>
      </c>
      <c r="I367" s="1" t="s">
        <v>1224</v>
      </c>
      <c r="J367" s="1" t="s">
        <v>221</v>
      </c>
      <c r="K367" s="1" t="s">
        <v>30</v>
      </c>
      <c r="L367" s="1" t="s">
        <v>31</v>
      </c>
      <c r="M367" s="1" t="s">
        <v>45</v>
      </c>
      <c r="N367" s="4">
        <v>36</v>
      </c>
      <c r="O367" s="1" t="s">
        <v>87</v>
      </c>
      <c r="P367" s="1" t="s">
        <v>47</v>
      </c>
      <c r="Q367" s="1" t="s">
        <v>68</v>
      </c>
      <c r="R367" s="1" t="s">
        <v>36</v>
      </c>
      <c r="S367" s="5">
        <v>234480</v>
      </c>
      <c r="T367" s="1" t="s">
        <v>1225</v>
      </c>
      <c r="U367" s="1" t="s">
        <v>38</v>
      </c>
      <c r="V367" s="3">
        <v>46202.470833333296</v>
      </c>
      <c r="W367" s="6">
        <f t="shared" si="10"/>
        <v>8</v>
      </c>
      <c r="X367" s="6" t="str">
        <f t="shared" si="11"/>
        <v>Sim</v>
      </c>
    </row>
    <row r="368" spans="1:24" ht="15" customHeight="1" x14ac:dyDescent="0.3">
      <c r="A368" s="1" t="s">
        <v>846</v>
      </c>
      <c r="B368" s="1" t="s">
        <v>25</v>
      </c>
      <c r="C368" s="1" t="s">
        <v>1184</v>
      </c>
      <c r="D368" s="1" t="s">
        <v>5</v>
      </c>
      <c r="E368" s="3">
        <v>46255.704861111102</v>
      </c>
      <c r="F368" s="3">
        <v>46269.375</v>
      </c>
      <c r="G368" s="3">
        <v>46269.375</v>
      </c>
      <c r="H368" s="1" t="s">
        <v>42</v>
      </c>
      <c r="I368" s="1" t="s">
        <v>1226</v>
      </c>
      <c r="J368" s="1" t="s">
        <v>154</v>
      </c>
      <c r="K368" s="1" t="s">
        <v>30</v>
      </c>
      <c r="L368" s="1" t="s">
        <v>31</v>
      </c>
      <c r="M368" s="1" t="s">
        <v>45</v>
      </c>
      <c r="N368" s="4">
        <v>36</v>
      </c>
      <c r="O368" s="1" t="s">
        <v>46</v>
      </c>
      <c r="P368" s="1" t="s">
        <v>47</v>
      </c>
      <c r="Q368" s="1" t="s">
        <v>68</v>
      </c>
      <c r="R368" s="1" t="s">
        <v>36</v>
      </c>
      <c r="S368" s="5">
        <v>575220</v>
      </c>
      <c r="T368" s="1" t="s">
        <v>1227</v>
      </c>
      <c r="U368" s="1" t="s">
        <v>38</v>
      </c>
      <c r="V368" s="3">
        <v>46262.362500000003</v>
      </c>
      <c r="W368" s="6">
        <f t="shared" si="10"/>
        <v>1</v>
      </c>
      <c r="X368" s="6" t="str">
        <f t="shared" si="11"/>
        <v>Não</v>
      </c>
    </row>
    <row r="369" spans="1:24" ht="15" customHeight="1" x14ac:dyDescent="0.3">
      <c r="A369" s="1" t="s">
        <v>1228</v>
      </c>
      <c r="B369" s="1" t="s">
        <v>25</v>
      </c>
      <c r="C369" s="1" t="s">
        <v>1184</v>
      </c>
      <c r="D369" s="1" t="s">
        <v>5</v>
      </c>
      <c r="E369" s="3">
        <v>46259.664583333302</v>
      </c>
      <c r="F369" s="3">
        <v>46267.833333333299</v>
      </c>
      <c r="G369" s="3">
        <v>46267.833333333299</v>
      </c>
      <c r="H369" s="1" t="s">
        <v>42</v>
      </c>
      <c r="I369" s="1" t="s">
        <v>1229</v>
      </c>
      <c r="J369" s="1" t="s">
        <v>221</v>
      </c>
      <c r="K369" s="1" t="s">
        <v>30</v>
      </c>
      <c r="L369" s="1" t="s">
        <v>31</v>
      </c>
      <c r="M369" s="1" t="s">
        <v>680</v>
      </c>
      <c r="N369" s="4">
        <v>36</v>
      </c>
      <c r="O369" s="1" t="s">
        <v>46</v>
      </c>
      <c r="P369" s="1" t="s">
        <v>47</v>
      </c>
      <c r="Q369" s="1" t="s">
        <v>35</v>
      </c>
      <c r="R369" s="1" t="s">
        <v>36</v>
      </c>
      <c r="S369" s="5">
        <v>98460</v>
      </c>
      <c r="T369" s="1" t="s">
        <v>1230</v>
      </c>
      <c r="U369" s="1" t="s">
        <v>38</v>
      </c>
      <c r="V369" s="3">
        <v>46260.804166666698</v>
      </c>
      <c r="W369" s="6">
        <f t="shared" si="10"/>
        <v>8</v>
      </c>
      <c r="X369" s="6" t="str">
        <f t="shared" si="11"/>
        <v>Sim</v>
      </c>
    </row>
    <row r="370" spans="1:24" ht="15" customHeight="1" x14ac:dyDescent="0.3">
      <c r="A370" s="1" t="s">
        <v>1231</v>
      </c>
      <c r="B370" s="1" t="s">
        <v>25</v>
      </c>
      <c r="C370" s="1" t="s">
        <v>1184</v>
      </c>
      <c r="D370" s="1" t="s">
        <v>5</v>
      </c>
      <c r="E370" s="3">
        <v>46259.581250000003</v>
      </c>
      <c r="F370" s="3">
        <v>46268.666666666701</v>
      </c>
      <c r="G370" s="3">
        <v>46268.666666666701</v>
      </c>
      <c r="H370" s="1" t="s">
        <v>42</v>
      </c>
      <c r="I370" s="1" t="s">
        <v>1232</v>
      </c>
      <c r="J370" s="1" t="s">
        <v>214</v>
      </c>
      <c r="K370" s="1" t="s">
        <v>30</v>
      </c>
      <c r="L370" s="1" t="s">
        <v>31</v>
      </c>
      <c r="M370" s="1" t="s">
        <v>680</v>
      </c>
      <c r="N370" s="4">
        <v>36</v>
      </c>
      <c r="O370" s="1" t="s">
        <v>46</v>
      </c>
      <c r="P370" s="1" t="s">
        <v>47</v>
      </c>
      <c r="Q370" s="1" t="s">
        <v>35</v>
      </c>
      <c r="R370" s="1" t="s">
        <v>36</v>
      </c>
      <c r="S370" s="5">
        <v>179580</v>
      </c>
      <c r="T370" s="1" t="s">
        <v>1233</v>
      </c>
      <c r="U370" s="1" t="s">
        <v>38</v>
      </c>
      <c r="V370" s="3">
        <v>46261.659722222197</v>
      </c>
      <c r="W370" s="6">
        <f t="shared" si="10"/>
        <v>10</v>
      </c>
      <c r="X370" s="6" t="str">
        <f t="shared" si="11"/>
        <v>Sim</v>
      </c>
    </row>
    <row r="371" spans="1:24" ht="15" customHeight="1" x14ac:dyDescent="0.3">
      <c r="A371" s="1" t="s">
        <v>1234</v>
      </c>
      <c r="B371" s="1" t="s">
        <v>25</v>
      </c>
      <c r="C371" s="1" t="s">
        <v>1184</v>
      </c>
      <c r="D371" s="1" t="s">
        <v>5</v>
      </c>
      <c r="E371" s="3">
        <v>46178.712500000001</v>
      </c>
      <c r="F371" s="3">
        <v>46195.416666666701</v>
      </c>
      <c r="G371" s="3">
        <v>46195.416666666701</v>
      </c>
      <c r="H371" s="1" t="s">
        <v>42</v>
      </c>
      <c r="I371" s="1" t="s">
        <v>1235</v>
      </c>
      <c r="J371" s="1" t="s">
        <v>221</v>
      </c>
      <c r="K371" s="1" t="s">
        <v>30</v>
      </c>
      <c r="L371" s="1" t="s">
        <v>31</v>
      </c>
      <c r="M371" s="1" t="s">
        <v>45</v>
      </c>
      <c r="N371" s="4">
        <v>36</v>
      </c>
      <c r="O371" s="1" t="s">
        <v>46</v>
      </c>
      <c r="P371" s="1" t="s">
        <v>47</v>
      </c>
      <c r="Q371" s="1" t="s">
        <v>68</v>
      </c>
      <c r="R371" s="1" t="s">
        <v>36</v>
      </c>
      <c r="S371" s="5">
        <v>836220</v>
      </c>
      <c r="T371" s="1" t="s">
        <v>1236</v>
      </c>
      <c r="U371" s="1" t="s">
        <v>38</v>
      </c>
      <c r="V371" s="3">
        <v>46188.390972222202</v>
      </c>
      <c r="W371" s="6">
        <f t="shared" si="10"/>
        <v>8</v>
      </c>
      <c r="X371" s="6" t="str">
        <f t="shared" si="11"/>
        <v>Sim</v>
      </c>
    </row>
    <row r="372" spans="1:24" ht="15" customHeight="1" x14ac:dyDescent="0.3">
      <c r="A372" s="1" t="s">
        <v>1237</v>
      </c>
      <c r="B372" s="1" t="s">
        <v>25</v>
      </c>
      <c r="C372" s="1" t="s">
        <v>1184</v>
      </c>
      <c r="D372" s="1" t="s">
        <v>5</v>
      </c>
      <c r="E372" s="3">
        <v>46246.4909722222</v>
      </c>
      <c r="F372" s="3">
        <v>46253.583333333299</v>
      </c>
      <c r="G372" s="3">
        <v>46253.583333333299</v>
      </c>
      <c r="H372" s="1" t="s">
        <v>42</v>
      </c>
      <c r="I372" s="1" t="s">
        <v>1238</v>
      </c>
      <c r="J372" s="1" t="s">
        <v>748</v>
      </c>
      <c r="K372" s="1" t="s">
        <v>30</v>
      </c>
      <c r="L372" s="1" t="s">
        <v>31</v>
      </c>
      <c r="M372" s="1" t="s">
        <v>680</v>
      </c>
      <c r="N372" s="4">
        <v>36</v>
      </c>
      <c r="O372" s="1" t="s">
        <v>46</v>
      </c>
      <c r="P372" s="1" t="s">
        <v>47</v>
      </c>
      <c r="Q372" s="1" t="s">
        <v>145</v>
      </c>
      <c r="R372" s="1" t="s">
        <v>36</v>
      </c>
      <c r="S372" s="5">
        <v>7860</v>
      </c>
      <c r="T372" s="1" t="s">
        <v>1239</v>
      </c>
      <c r="U372" s="1" t="s">
        <v>38</v>
      </c>
      <c r="V372" s="3">
        <v>46246.581944444399</v>
      </c>
      <c r="W372" s="6">
        <f t="shared" si="10"/>
        <v>1</v>
      </c>
      <c r="X372" s="6" t="str">
        <f t="shared" si="11"/>
        <v>Não</v>
      </c>
    </row>
    <row r="373" spans="1:24" ht="15" customHeight="1" x14ac:dyDescent="0.3">
      <c r="A373" s="1" t="s">
        <v>1240</v>
      </c>
      <c r="B373" s="1" t="s">
        <v>25</v>
      </c>
      <c r="C373" s="1" t="s">
        <v>1184</v>
      </c>
      <c r="D373" s="1" t="s">
        <v>5</v>
      </c>
      <c r="E373" s="3">
        <v>46178.495138888902</v>
      </c>
      <c r="F373" s="3">
        <v>46188.625</v>
      </c>
      <c r="G373" s="3">
        <v>46188.625</v>
      </c>
      <c r="H373" s="1" t="s">
        <v>42</v>
      </c>
      <c r="I373" s="1" t="s">
        <v>1241</v>
      </c>
      <c r="J373" s="1" t="s">
        <v>861</v>
      </c>
      <c r="K373" s="1" t="s">
        <v>30</v>
      </c>
      <c r="L373" s="1" t="s">
        <v>31</v>
      </c>
      <c r="M373" s="1" t="s">
        <v>45</v>
      </c>
      <c r="N373" s="4">
        <v>36</v>
      </c>
      <c r="O373" s="1" t="s">
        <v>46</v>
      </c>
      <c r="P373" s="1" t="s">
        <v>47</v>
      </c>
      <c r="Q373" s="1" t="s">
        <v>35</v>
      </c>
      <c r="R373" s="1" t="s">
        <v>36</v>
      </c>
      <c r="S373" s="5">
        <v>268860</v>
      </c>
      <c r="T373" s="1" t="s">
        <v>1242</v>
      </c>
      <c r="U373" s="1" t="s">
        <v>38</v>
      </c>
      <c r="V373" s="3">
        <v>46181.6069444444</v>
      </c>
      <c r="W373" s="6">
        <f t="shared" si="10"/>
        <v>1</v>
      </c>
      <c r="X373" s="6" t="str">
        <f t="shared" si="11"/>
        <v>Não</v>
      </c>
    </row>
    <row r="374" spans="1:24" ht="15" customHeight="1" x14ac:dyDescent="0.3">
      <c r="A374" s="1" t="s">
        <v>1243</v>
      </c>
      <c r="B374" s="1" t="s">
        <v>25</v>
      </c>
      <c r="C374" s="1" t="s">
        <v>1184</v>
      </c>
      <c r="D374" s="1" t="s">
        <v>5</v>
      </c>
      <c r="E374" s="3">
        <v>46182.359722222202</v>
      </c>
      <c r="F374" s="3">
        <v>46190.5</v>
      </c>
      <c r="G374" s="3">
        <v>46190.5</v>
      </c>
      <c r="H374" s="1" t="s">
        <v>42</v>
      </c>
      <c r="I374" s="1" t="s">
        <v>1244</v>
      </c>
      <c r="J374" s="1" t="s">
        <v>221</v>
      </c>
      <c r="K374" s="1" t="s">
        <v>51</v>
      </c>
      <c r="L374" s="1" t="s">
        <v>31</v>
      </c>
      <c r="M374" s="1" t="s">
        <v>45</v>
      </c>
      <c r="N374" s="4">
        <v>36</v>
      </c>
      <c r="O374" s="1" t="s">
        <v>87</v>
      </c>
      <c r="P374" s="1" t="s">
        <v>47</v>
      </c>
      <c r="Q374" s="1" t="s">
        <v>68</v>
      </c>
      <c r="R374" s="1" t="s">
        <v>36</v>
      </c>
      <c r="S374" s="5">
        <v>95400</v>
      </c>
      <c r="T374" s="1" t="s">
        <v>1245</v>
      </c>
      <c r="U374" s="1" t="s">
        <v>38</v>
      </c>
      <c r="V374" s="3">
        <v>46183.463888888902</v>
      </c>
      <c r="W374" s="6">
        <f t="shared" si="10"/>
        <v>8</v>
      </c>
      <c r="X374" s="6" t="str">
        <f t="shared" si="11"/>
        <v>Sim</v>
      </c>
    </row>
    <row r="375" spans="1:24" ht="15" customHeight="1" x14ac:dyDescent="0.3">
      <c r="A375" s="1" t="s">
        <v>1246</v>
      </c>
      <c r="B375" s="1" t="s">
        <v>25</v>
      </c>
      <c r="C375" s="1" t="s">
        <v>1184</v>
      </c>
      <c r="D375" s="1" t="s">
        <v>5</v>
      </c>
      <c r="E375" s="3">
        <v>46259.574999999997</v>
      </c>
      <c r="F375" s="3">
        <v>46266.666666666701</v>
      </c>
      <c r="G375" s="3">
        <v>46266.666666666701</v>
      </c>
      <c r="H375" s="1" t="s">
        <v>42</v>
      </c>
      <c r="I375" s="1" t="s">
        <v>1247</v>
      </c>
      <c r="J375" s="1" t="s">
        <v>214</v>
      </c>
      <c r="K375" s="1" t="s">
        <v>30</v>
      </c>
      <c r="L375" s="1" t="s">
        <v>31</v>
      </c>
      <c r="M375" s="1" t="s">
        <v>45</v>
      </c>
      <c r="N375" s="4">
        <v>36</v>
      </c>
      <c r="O375" s="1" t="s">
        <v>46</v>
      </c>
      <c r="P375" s="1" t="s">
        <v>47</v>
      </c>
      <c r="Q375" s="1" t="s">
        <v>68</v>
      </c>
      <c r="R375" s="1" t="s">
        <v>36</v>
      </c>
      <c r="S375" s="5">
        <v>6300</v>
      </c>
      <c r="T375" s="1" t="s">
        <v>1248</v>
      </c>
      <c r="U375" s="1" t="s">
        <v>38</v>
      </c>
      <c r="V375" s="3">
        <v>46259.647916666698</v>
      </c>
      <c r="W375" s="6">
        <f t="shared" si="10"/>
        <v>10</v>
      </c>
      <c r="X375" s="6" t="str">
        <f t="shared" si="11"/>
        <v>Sim</v>
      </c>
    </row>
    <row r="376" spans="1:24" ht="15" customHeight="1" x14ac:dyDescent="0.3">
      <c r="A376" s="1" t="s">
        <v>1249</v>
      </c>
      <c r="B376" s="1" t="s">
        <v>25</v>
      </c>
      <c r="C376" s="1" t="s">
        <v>1184</v>
      </c>
      <c r="D376" s="1" t="s">
        <v>5</v>
      </c>
      <c r="E376" s="3">
        <v>46210.668749999997</v>
      </c>
      <c r="F376" s="3">
        <v>46218.625</v>
      </c>
      <c r="G376" s="3">
        <v>46218.625</v>
      </c>
      <c r="H376" s="1" t="s">
        <v>42</v>
      </c>
      <c r="I376" s="1" t="s">
        <v>1250</v>
      </c>
      <c r="J376" s="1" t="s">
        <v>123</v>
      </c>
      <c r="K376" s="1" t="s">
        <v>30</v>
      </c>
      <c r="L376" s="1" t="s">
        <v>31</v>
      </c>
      <c r="M376" s="1" t="s">
        <v>62</v>
      </c>
      <c r="N376" s="4">
        <v>36</v>
      </c>
      <c r="O376" s="1" t="s">
        <v>46</v>
      </c>
      <c r="P376" s="1" t="s">
        <v>47</v>
      </c>
      <c r="Q376" s="1" t="s">
        <v>145</v>
      </c>
      <c r="R376" s="1" t="s">
        <v>36</v>
      </c>
      <c r="S376" s="5">
        <v>79680</v>
      </c>
      <c r="T376" s="1" t="s">
        <v>1251</v>
      </c>
      <c r="U376" s="1" t="s">
        <v>38</v>
      </c>
      <c r="V376" s="3">
        <v>46211.590972222199</v>
      </c>
      <c r="W376" s="6">
        <f t="shared" si="10"/>
        <v>1</v>
      </c>
      <c r="X376" s="6" t="str">
        <f t="shared" si="11"/>
        <v>Não</v>
      </c>
    </row>
    <row r="377" spans="1:24" ht="15" customHeight="1" x14ac:dyDescent="0.3">
      <c r="A377" s="1" t="s">
        <v>1252</v>
      </c>
      <c r="B377" s="1" t="s">
        <v>25</v>
      </c>
      <c r="C377" s="1" t="s">
        <v>1184</v>
      </c>
      <c r="D377" s="1" t="s">
        <v>5</v>
      </c>
      <c r="E377" s="3">
        <v>46226.755555555603</v>
      </c>
      <c r="F377" s="3">
        <v>46234.666666666701</v>
      </c>
      <c r="G377" s="3">
        <v>46234.666666666701</v>
      </c>
      <c r="H377" s="1" t="s">
        <v>42</v>
      </c>
      <c r="I377" s="1" t="s">
        <v>1253</v>
      </c>
      <c r="J377" s="1" t="s">
        <v>1254</v>
      </c>
      <c r="K377" s="1" t="s">
        <v>30</v>
      </c>
      <c r="L377" s="1" t="s">
        <v>31</v>
      </c>
      <c r="M377" s="1" t="s">
        <v>680</v>
      </c>
      <c r="N377" s="4">
        <v>36</v>
      </c>
      <c r="O377" s="1" t="s">
        <v>46</v>
      </c>
      <c r="P377" s="1" t="s">
        <v>47</v>
      </c>
      <c r="Q377" s="1" t="s">
        <v>145</v>
      </c>
      <c r="R377" s="1" t="s">
        <v>36</v>
      </c>
      <c r="S377" s="5">
        <v>76860</v>
      </c>
      <c r="T377" s="1" t="s">
        <v>1255</v>
      </c>
      <c r="U377" s="1" t="s">
        <v>38</v>
      </c>
      <c r="V377" s="3">
        <v>46227.645138888904</v>
      </c>
      <c r="W377" s="6">
        <f t="shared" si="10"/>
        <v>2</v>
      </c>
      <c r="X377" s="6" t="str">
        <f t="shared" si="11"/>
        <v>Sim</v>
      </c>
    </row>
    <row r="378" spans="1:24" ht="15" customHeight="1" x14ac:dyDescent="0.3">
      <c r="A378" s="1" t="s">
        <v>1256</v>
      </c>
      <c r="B378" s="1" t="s">
        <v>25</v>
      </c>
      <c r="C378" s="1" t="s">
        <v>1184</v>
      </c>
      <c r="D378" s="1" t="s">
        <v>5</v>
      </c>
      <c r="E378" s="3">
        <v>46238.604166666701</v>
      </c>
      <c r="F378" s="3">
        <v>46248.375</v>
      </c>
      <c r="G378" s="3">
        <v>46248.375</v>
      </c>
      <c r="H378" s="1" t="s">
        <v>42</v>
      </c>
      <c r="I378" s="1" t="s">
        <v>1257</v>
      </c>
      <c r="J378" s="1" t="s">
        <v>214</v>
      </c>
      <c r="K378" s="1" t="s">
        <v>30</v>
      </c>
      <c r="L378" s="1" t="s">
        <v>31</v>
      </c>
      <c r="M378" s="1" t="s">
        <v>680</v>
      </c>
      <c r="N378" s="4">
        <v>36</v>
      </c>
      <c r="O378" s="1" t="s">
        <v>46</v>
      </c>
      <c r="P378" s="1" t="s">
        <v>47</v>
      </c>
      <c r="Q378" s="1" t="s">
        <v>145</v>
      </c>
      <c r="R378" s="1" t="s">
        <v>36</v>
      </c>
      <c r="S378" s="5">
        <v>239220</v>
      </c>
      <c r="T378" s="1" t="s">
        <v>1258</v>
      </c>
      <c r="U378" s="1" t="s">
        <v>38</v>
      </c>
      <c r="V378" s="3">
        <v>46241.372916666704</v>
      </c>
      <c r="W378" s="6">
        <f t="shared" si="10"/>
        <v>10</v>
      </c>
      <c r="X378" s="6" t="str">
        <f t="shared" si="11"/>
        <v>Sim</v>
      </c>
    </row>
    <row r="379" spans="1:24" ht="15" customHeight="1" x14ac:dyDescent="0.3">
      <c r="A379" s="1" t="s">
        <v>1259</v>
      </c>
      <c r="B379" s="1" t="s">
        <v>25</v>
      </c>
      <c r="C379" s="1" t="s">
        <v>1184</v>
      </c>
      <c r="D379" s="1" t="s">
        <v>5</v>
      </c>
      <c r="E379" s="3">
        <v>46227.646527777797</v>
      </c>
      <c r="F379" s="3">
        <v>46238.666666666701</v>
      </c>
      <c r="G379" s="3">
        <v>46238.666666666701</v>
      </c>
      <c r="H379" s="1" t="s">
        <v>42</v>
      </c>
      <c r="I379" s="1" t="s">
        <v>1260</v>
      </c>
      <c r="J379" s="1" t="s">
        <v>1254</v>
      </c>
      <c r="K379" s="1" t="s">
        <v>51</v>
      </c>
      <c r="L379" s="1" t="s">
        <v>31</v>
      </c>
      <c r="M379" s="1" t="s">
        <v>680</v>
      </c>
      <c r="N379" s="4">
        <v>36</v>
      </c>
      <c r="O379" s="1" t="s">
        <v>46</v>
      </c>
      <c r="P379" s="1" t="s">
        <v>47</v>
      </c>
      <c r="Q379" s="1" t="s">
        <v>145</v>
      </c>
      <c r="R379" s="1" t="s">
        <v>36</v>
      </c>
      <c r="S379" s="5">
        <v>345180</v>
      </c>
      <c r="T379" s="1" t="s">
        <v>1261</v>
      </c>
      <c r="U379" s="1" t="s">
        <v>38</v>
      </c>
      <c r="V379" s="3">
        <v>46231.641666666699</v>
      </c>
      <c r="W379" s="6">
        <f t="shared" si="10"/>
        <v>2</v>
      </c>
      <c r="X379" s="6" t="str">
        <f t="shared" si="11"/>
        <v>Sim</v>
      </c>
    </row>
    <row r="380" spans="1:24" ht="15" customHeight="1" x14ac:dyDescent="0.3">
      <c r="A380" s="1" t="s">
        <v>1262</v>
      </c>
      <c r="B380" s="1" t="s">
        <v>25</v>
      </c>
      <c r="C380" s="1" t="s">
        <v>1184</v>
      </c>
      <c r="D380" s="1" t="s">
        <v>5</v>
      </c>
      <c r="E380" s="3">
        <v>46225.449305555601</v>
      </c>
      <c r="F380" s="3">
        <v>46238.667361111096</v>
      </c>
      <c r="G380" s="3">
        <v>46238.667361111096</v>
      </c>
      <c r="H380" s="1" t="s">
        <v>42</v>
      </c>
      <c r="I380" s="1" t="s">
        <v>1263</v>
      </c>
      <c r="J380" s="1" t="s">
        <v>1264</v>
      </c>
      <c r="K380" s="1" t="s">
        <v>51</v>
      </c>
      <c r="L380" s="1" t="s">
        <v>31</v>
      </c>
      <c r="M380" s="1" t="s">
        <v>680</v>
      </c>
      <c r="N380" s="4">
        <v>36</v>
      </c>
      <c r="O380" s="1" t="s">
        <v>46</v>
      </c>
      <c r="P380" s="1" t="s">
        <v>47</v>
      </c>
      <c r="Q380" s="1" t="s">
        <v>145</v>
      </c>
      <c r="R380" s="1" t="s">
        <v>36</v>
      </c>
      <c r="S380" s="5">
        <v>535140</v>
      </c>
      <c r="T380" s="1" t="s">
        <v>1265</v>
      </c>
      <c r="U380" s="1" t="s">
        <v>38</v>
      </c>
      <c r="V380" s="3">
        <v>46231.6430555556</v>
      </c>
      <c r="W380" s="6">
        <f t="shared" si="10"/>
        <v>1</v>
      </c>
      <c r="X380" s="6" t="str">
        <f t="shared" si="11"/>
        <v>Não</v>
      </c>
    </row>
    <row r="381" spans="1:24" ht="15" customHeight="1" x14ac:dyDescent="0.3">
      <c r="A381" s="1" t="s">
        <v>1266</v>
      </c>
      <c r="B381" s="1" t="s">
        <v>25</v>
      </c>
      <c r="C381" s="1" t="s">
        <v>1184</v>
      </c>
      <c r="D381" s="1" t="s">
        <v>5</v>
      </c>
      <c r="E381" s="3">
        <v>46233.3569444444</v>
      </c>
      <c r="F381" s="3">
        <v>46246.625694444498</v>
      </c>
      <c r="G381" s="3">
        <v>46246.625694444498</v>
      </c>
      <c r="H381" s="1" t="s">
        <v>42</v>
      </c>
      <c r="I381" s="1" t="s">
        <v>1267</v>
      </c>
      <c r="J381" s="1" t="s">
        <v>221</v>
      </c>
      <c r="K381" s="1" t="s">
        <v>30</v>
      </c>
      <c r="L381" s="1" t="s">
        <v>31</v>
      </c>
      <c r="M381" s="1" t="s">
        <v>680</v>
      </c>
      <c r="N381" s="4">
        <v>36</v>
      </c>
      <c r="O381" s="1" t="s">
        <v>46</v>
      </c>
      <c r="P381" s="1" t="s">
        <v>47</v>
      </c>
      <c r="Q381" s="1" t="s">
        <v>145</v>
      </c>
      <c r="R381" s="1" t="s">
        <v>36</v>
      </c>
      <c r="S381" s="5">
        <v>540660</v>
      </c>
      <c r="T381" s="1" t="s">
        <v>1268</v>
      </c>
      <c r="U381" s="1" t="s">
        <v>38</v>
      </c>
      <c r="V381" s="3">
        <v>46239.614583333299</v>
      </c>
      <c r="W381" s="6">
        <f t="shared" si="10"/>
        <v>8</v>
      </c>
      <c r="X381" s="6" t="str">
        <f t="shared" si="11"/>
        <v>Sim</v>
      </c>
    </row>
    <row r="382" spans="1:24" ht="15" customHeight="1" x14ac:dyDescent="0.3">
      <c r="A382" s="1" t="s">
        <v>1269</v>
      </c>
      <c r="B382" s="1" t="s">
        <v>25</v>
      </c>
      <c r="C382" s="1" t="s">
        <v>1184</v>
      </c>
      <c r="D382" s="1" t="s">
        <v>5</v>
      </c>
      <c r="E382" s="3">
        <v>46266.476388888899</v>
      </c>
      <c r="F382" s="3">
        <v>46274.75</v>
      </c>
      <c r="G382" s="3">
        <v>46274.75</v>
      </c>
      <c r="H382" s="1" t="s">
        <v>658</v>
      </c>
      <c r="I382" s="1" t="s">
        <v>1270</v>
      </c>
      <c r="J382" s="1" t="s">
        <v>214</v>
      </c>
      <c r="K382" s="1" t="s">
        <v>30</v>
      </c>
      <c r="L382" s="1" t="s">
        <v>31</v>
      </c>
      <c r="M382" s="1" t="s">
        <v>32</v>
      </c>
      <c r="N382" s="4">
        <v>36</v>
      </c>
      <c r="O382" s="1" t="s">
        <v>46</v>
      </c>
      <c r="P382" s="1" t="s">
        <v>47</v>
      </c>
      <c r="Q382" s="1" t="s">
        <v>35</v>
      </c>
      <c r="R382" s="1" t="s">
        <v>36</v>
      </c>
      <c r="S382" s="5">
        <v>108900</v>
      </c>
      <c r="T382" s="1" t="s">
        <v>1271</v>
      </c>
      <c r="U382" s="1" t="s">
        <v>38</v>
      </c>
      <c r="V382" s="3">
        <v>46267.7368055556</v>
      </c>
      <c r="W382" s="6">
        <f t="shared" si="10"/>
        <v>10</v>
      </c>
      <c r="X382" s="6" t="str">
        <f t="shared" si="11"/>
        <v>Sim</v>
      </c>
    </row>
    <row r="383" spans="1:24" ht="15" customHeight="1" x14ac:dyDescent="0.3">
      <c r="A383" s="1" t="s">
        <v>1272</v>
      </c>
      <c r="B383" s="1" t="s">
        <v>25</v>
      </c>
      <c r="C383" s="1" t="s">
        <v>1184</v>
      </c>
      <c r="D383" s="1" t="s">
        <v>408</v>
      </c>
      <c r="E383" s="3">
        <v>46266.670833333301</v>
      </c>
      <c r="F383" s="3">
        <v>46269.345138888901</v>
      </c>
      <c r="G383" s="3">
        <v>46269.345138888901</v>
      </c>
      <c r="H383" s="1" t="s">
        <v>42</v>
      </c>
      <c r="I383" s="1" t="s">
        <v>1273</v>
      </c>
      <c r="J383" s="1" t="s">
        <v>214</v>
      </c>
      <c r="K383" s="1" t="s">
        <v>30</v>
      </c>
      <c r="L383" s="1" t="s">
        <v>31</v>
      </c>
      <c r="M383" s="1" t="s">
        <v>45</v>
      </c>
      <c r="N383" s="4">
        <v>36</v>
      </c>
      <c r="O383" s="1" t="s">
        <v>46</v>
      </c>
      <c r="P383" s="1" t="s">
        <v>47</v>
      </c>
      <c r="R383" s="1" t="s">
        <v>36</v>
      </c>
      <c r="S383" s="5">
        <v>231060</v>
      </c>
      <c r="U383" s="1" t="s">
        <v>38</v>
      </c>
      <c r="V383" s="3"/>
      <c r="W383" s="6">
        <f t="shared" si="10"/>
        <v>10</v>
      </c>
      <c r="X383" s="6" t="str">
        <f t="shared" si="11"/>
        <v>Sim</v>
      </c>
    </row>
    <row r="384" spans="1:24" ht="15" customHeight="1" x14ac:dyDescent="0.3">
      <c r="A384" s="1" t="s">
        <v>1274</v>
      </c>
      <c r="B384" s="1" t="s">
        <v>25</v>
      </c>
      <c r="C384" s="1" t="s">
        <v>1184</v>
      </c>
      <c r="D384" s="1" t="s">
        <v>408</v>
      </c>
      <c r="E384" s="3">
        <v>46248.556250000001</v>
      </c>
      <c r="F384" s="3">
        <v>46252.809027777803</v>
      </c>
      <c r="G384" s="3">
        <v>46252.809027777803</v>
      </c>
      <c r="H384" s="1" t="s">
        <v>658</v>
      </c>
      <c r="I384" s="1" t="s">
        <v>1275</v>
      </c>
      <c r="J384" s="1" t="s">
        <v>214</v>
      </c>
      <c r="K384" s="1" t="s">
        <v>30</v>
      </c>
      <c r="L384" s="1" t="s">
        <v>31</v>
      </c>
      <c r="M384" s="1" t="s">
        <v>680</v>
      </c>
      <c r="N384" s="4">
        <v>36</v>
      </c>
      <c r="O384" s="1" t="s">
        <v>46</v>
      </c>
      <c r="P384" s="1" t="s">
        <v>47</v>
      </c>
      <c r="R384" s="1" t="s">
        <v>36</v>
      </c>
      <c r="S384" s="5">
        <v>367440</v>
      </c>
      <c r="U384" s="1" t="s">
        <v>38</v>
      </c>
      <c r="V384" s="3"/>
      <c r="W384" s="6">
        <f t="shared" si="10"/>
        <v>10</v>
      </c>
      <c r="X384" s="6" t="str">
        <f t="shared" si="11"/>
        <v>Sim</v>
      </c>
    </row>
    <row r="385" spans="1:24" ht="15" customHeight="1" x14ac:dyDescent="0.3">
      <c r="A385" s="1" t="s">
        <v>1276</v>
      </c>
      <c r="B385" s="1" t="s">
        <v>25</v>
      </c>
      <c r="C385" s="1" t="s">
        <v>1184</v>
      </c>
      <c r="D385" s="1" t="s">
        <v>408</v>
      </c>
      <c r="E385" s="3">
        <v>46184.431944444397</v>
      </c>
      <c r="F385" s="3">
        <v>46188.585416666698</v>
      </c>
      <c r="G385" s="3">
        <v>46198.6694444444</v>
      </c>
      <c r="H385" s="1" t="s">
        <v>42</v>
      </c>
      <c r="I385" s="1" t="s">
        <v>1277</v>
      </c>
      <c r="J385" s="1" t="s">
        <v>221</v>
      </c>
      <c r="K385" s="1" t="s">
        <v>30</v>
      </c>
      <c r="L385" s="1" t="s">
        <v>31</v>
      </c>
      <c r="M385" s="1" t="s">
        <v>45</v>
      </c>
      <c r="N385" s="4">
        <v>36</v>
      </c>
      <c r="O385" s="1" t="s">
        <v>87</v>
      </c>
      <c r="P385" s="1" t="s">
        <v>47</v>
      </c>
      <c r="R385" s="1" t="s">
        <v>36</v>
      </c>
      <c r="S385" s="5">
        <v>358860</v>
      </c>
      <c r="U385" s="1" t="s">
        <v>38</v>
      </c>
      <c r="V385" s="3"/>
      <c r="W385" s="6">
        <f t="shared" si="10"/>
        <v>8</v>
      </c>
      <c r="X385" s="6" t="str">
        <f t="shared" si="11"/>
        <v>Sim</v>
      </c>
    </row>
    <row r="386" spans="1:24" ht="15" customHeight="1" x14ac:dyDescent="0.3">
      <c r="A386" s="1" t="s">
        <v>1278</v>
      </c>
      <c r="B386" s="1" t="s">
        <v>25</v>
      </c>
      <c r="C386" s="1" t="s">
        <v>1184</v>
      </c>
      <c r="D386" s="1" t="s">
        <v>408</v>
      </c>
      <c r="E386" s="3">
        <v>46245.385416666701</v>
      </c>
      <c r="F386" s="3">
        <v>46248.510416666701</v>
      </c>
      <c r="G386" s="3">
        <v>46248.510416666701</v>
      </c>
      <c r="H386" s="1" t="s">
        <v>42</v>
      </c>
      <c r="I386" s="1" t="s">
        <v>1279</v>
      </c>
      <c r="J386" s="1" t="s">
        <v>214</v>
      </c>
      <c r="K386" s="1" t="s">
        <v>51</v>
      </c>
      <c r="L386" s="1" t="s">
        <v>31</v>
      </c>
      <c r="M386" s="1" t="s">
        <v>680</v>
      </c>
      <c r="N386" s="4">
        <v>36</v>
      </c>
      <c r="O386" s="1" t="s">
        <v>46</v>
      </c>
      <c r="P386" s="1" t="s">
        <v>47</v>
      </c>
      <c r="R386" s="1" t="s">
        <v>36</v>
      </c>
      <c r="S386" s="5">
        <v>270000</v>
      </c>
      <c r="U386" s="1" t="s">
        <v>38</v>
      </c>
      <c r="V386" s="3"/>
      <c r="W386" s="6">
        <f t="shared" ref="W386:W417" si="12">COUNTIFS($J$2:$J$417,J386,$C$2:$C$417,C386)</f>
        <v>10</v>
      </c>
      <c r="X386" s="6" t="str">
        <f t="shared" ref="X386:X449" si="13">IF(W386&gt;1,"Sim","Não")</f>
        <v>Sim</v>
      </c>
    </row>
    <row r="387" spans="1:24" ht="15" customHeight="1" x14ac:dyDescent="0.3">
      <c r="A387" s="1" t="s">
        <v>1223</v>
      </c>
      <c r="B387" s="1" t="s">
        <v>25</v>
      </c>
      <c r="C387" s="1" t="s">
        <v>1280</v>
      </c>
      <c r="D387" s="1" t="s">
        <v>5</v>
      </c>
      <c r="E387" s="3">
        <v>46199.752777777801</v>
      </c>
      <c r="F387" s="3">
        <v>46209.4597222222</v>
      </c>
      <c r="G387" s="3">
        <v>46209.4597222222</v>
      </c>
      <c r="H387" s="1" t="s">
        <v>42</v>
      </c>
      <c r="I387" s="1" t="s">
        <v>1281</v>
      </c>
      <c r="J387" s="1" t="s">
        <v>221</v>
      </c>
      <c r="K387" s="1" t="s">
        <v>30</v>
      </c>
      <c r="L387" s="1" t="s">
        <v>31</v>
      </c>
      <c r="M387" s="1" t="s">
        <v>45</v>
      </c>
      <c r="N387" s="4">
        <v>36</v>
      </c>
      <c r="O387" s="1" t="s">
        <v>87</v>
      </c>
      <c r="P387" s="1" t="s">
        <v>47</v>
      </c>
      <c r="Q387" s="1" t="s">
        <v>68</v>
      </c>
      <c r="R387" s="1" t="s">
        <v>36</v>
      </c>
      <c r="S387" s="5">
        <v>233040</v>
      </c>
      <c r="T387" s="1" t="s">
        <v>1282</v>
      </c>
      <c r="U387" s="1" t="s">
        <v>38</v>
      </c>
      <c r="V387" s="3">
        <v>46202.45</v>
      </c>
      <c r="W387" s="6">
        <f t="shared" si="12"/>
        <v>1</v>
      </c>
      <c r="X387" s="6" t="str">
        <f t="shared" si="13"/>
        <v>Não</v>
      </c>
    </row>
    <row r="388" spans="1:24" ht="15" customHeight="1" x14ac:dyDescent="0.3">
      <c r="A388" s="1" t="s">
        <v>1283</v>
      </c>
      <c r="B388" s="1" t="s">
        <v>25</v>
      </c>
      <c r="C388" s="1" t="s">
        <v>1284</v>
      </c>
      <c r="D388" s="1" t="s">
        <v>5</v>
      </c>
      <c r="E388" s="3">
        <v>46248.709027777797</v>
      </c>
      <c r="F388" s="3">
        <v>46259.459027777797</v>
      </c>
      <c r="G388" s="3">
        <v>46259.459027777797</v>
      </c>
      <c r="H388" s="1" t="s">
        <v>1285</v>
      </c>
      <c r="I388" s="1" t="s">
        <v>1286</v>
      </c>
      <c r="J388" s="1" t="s">
        <v>633</v>
      </c>
      <c r="K388" s="1" t="s">
        <v>30</v>
      </c>
      <c r="L388" s="1" t="s">
        <v>1287</v>
      </c>
      <c r="M388" s="1" t="s">
        <v>1288</v>
      </c>
      <c r="N388" s="4">
        <v>36</v>
      </c>
      <c r="O388" s="1" t="s">
        <v>46</v>
      </c>
      <c r="P388" s="1" t="s">
        <v>47</v>
      </c>
      <c r="Q388" s="1" t="s">
        <v>145</v>
      </c>
      <c r="R388" s="1" t="s">
        <v>36</v>
      </c>
      <c r="S388" s="5">
        <v>320640</v>
      </c>
      <c r="T388" s="1" t="s">
        <v>1289</v>
      </c>
      <c r="U388" s="1" t="s">
        <v>38</v>
      </c>
      <c r="V388" s="3">
        <v>46252.420138888898</v>
      </c>
      <c r="W388" s="6">
        <f t="shared" si="12"/>
        <v>1</v>
      </c>
      <c r="X388" s="6" t="str">
        <f t="shared" si="13"/>
        <v>Não</v>
      </c>
    </row>
    <row r="389" spans="1:24" ht="15" customHeight="1" x14ac:dyDescent="0.3">
      <c r="A389" s="1" t="s">
        <v>1290</v>
      </c>
      <c r="B389" s="1" t="s">
        <v>25</v>
      </c>
      <c r="C389" s="1" t="s">
        <v>1291</v>
      </c>
      <c r="D389" s="1" t="s">
        <v>5</v>
      </c>
      <c r="E389" s="3">
        <v>46265.439583333296</v>
      </c>
      <c r="F389" s="3">
        <v>46272.709027777797</v>
      </c>
      <c r="G389" s="3">
        <v>46272.709027777797</v>
      </c>
      <c r="H389" s="1" t="s">
        <v>42</v>
      </c>
      <c r="I389" s="1" t="s">
        <v>1292</v>
      </c>
      <c r="J389" s="1" t="s">
        <v>59</v>
      </c>
      <c r="K389" s="1" t="s">
        <v>30</v>
      </c>
      <c r="L389" s="1" t="s">
        <v>1293</v>
      </c>
      <c r="M389" s="1" t="s">
        <v>62</v>
      </c>
      <c r="N389" s="4">
        <v>36</v>
      </c>
      <c r="O389" s="1" t="s">
        <v>46</v>
      </c>
      <c r="P389" s="1" t="s">
        <v>47</v>
      </c>
      <c r="Q389" s="1" t="s">
        <v>35</v>
      </c>
      <c r="R389" s="1" t="s">
        <v>36</v>
      </c>
      <c r="S389" s="5">
        <v>23160</v>
      </c>
      <c r="T389" s="1" t="s">
        <v>1294</v>
      </c>
      <c r="U389" s="1" t="s">
        <v>38</v>
      </c>
      <c r="V389" s="3">
        <v>46265.707638888904</v>
      </c>
      <c r="W389" s="6">
        <f t="shared" si="12"/>
        <v>1</v>
      </c>
      <c r="X389" s="6" t="str">
        <f t="shared" si="13"/>
        <v>Não</v>
      </c>
    </row>
    <row r="390" spans="1:24" ht="15" customHeight="1" x14ac:dyDescent="0.3">
      <c r="A390" s="1" t="s">
        <v>1295</v>
      </c>
      <c r="B390" s="1" t="s">
        <v>25</v>
      </c>
      <c r="C390" s="1" t="s">
        <v>1296</v>
      </c>
      <c r="D390" s="1" t="s">
        <v>21</v>
      </c>
      <c r="E390" s="3">
        <v>46274.395138888904</v>
      </c>
      <c r="F390" s="3"/>
      <c r="G390" s="3">
        <v>46274.6743055556</v>
      </c>
      <c r="H390" s="1" t="s">
        <v>1297</v>
      </c>
      <c r="I390" s="1" t="s">
        <v>1298</v>
      </c>
      <c r="J390" s="1" t="s">
        <v>382</v>
      </c>
      <c r="K390" s="1" t="s">
        <v>30</v>
      </c>
      <c r="L390" s="1" t="s">
        <v>1299</v>
      </c>
      <c r="M390" s="1" t="s">
        <v>1300</v>
      </c>
      <c r="N390" s="4">
        <v>36</v>
      </c>
      <c r="O390" s="1" t="s">
        <v>46</v>
      </c>
      <c r="P390" s="1" t="s">
        <v>47</v>
      </c>
      <c r="Q390" s="1" t="s">
        <v>145</v>
      </c>
      <c r="R390" s="1" t="s">
        <v>36</v>
      </c>
      <c r="S390" s="5">
        <v>24120</v>
      </c>
      <c r="T390" s="1" t="s">
        <v>1301</v>
      </c>
      <c r="U390" s="1" t="s">
        <v>38</v>
      </c>
      <c r="V390" s="3">
        <v>46274.6743055556</v>
      </c>
      <c r="W390" s="6">
        <f t="shared" si="12"/>
        <v>2</v>
      </c>
      <c r="X390" s="6" t="str">
        <f t="shared" si="13"/>
        <v>Sim</v>
      </c>
    </row>
    <row r="391" spans="1:24" ht="15" customHeight="1" x14ac:dyDescent="0.3">
      <c r="A391" s="1" t="s">
        <v>712</v>
      </c>
      <c r="B391" s="1" t="s">
        <v>25</v>
      </c>
      <c r="C391" s="1" t="s">
        <v>1296</v>
      </c>
      <c r="D391" s="1" t="s">
        <v>5</v>
      </c>
      <c r="E391" s="3">
        <v>46199.665972222203</v>
      </c>
      <c r="F391" s="3">
        <v>46210.833333333299</v>
      </c>
      <c r="G391" s="3">
        <v>46210.833333333299</v>
      </c>
      <c r="H391" s="1" t="s">
        <v>1297</v>
      </c>
      <c r="I391" s="1" t="s">
        <v>1302</v>
      </c>
      <c r="J391" s="1" t="s">
        <v>382</v>
      </c>
      <c r="K391" s="1" t="s">
        <v>30</v>
      </c>
      <c r="L391" s="1" t="s">
        <v>1299</v>
      </c>
      <c r="M391" s="1" t="s">
        <v>62</v>
      </c>
      <c r="N391" s="4">
        <v>36</v>
      </c>
      <c r="O391" s="1" t="s">
        <v>46</v>
      </c>
      <c r="P391" s="1" t="s">
        <v>47</v>
      </c>
      <c r="Q391" s="1" t="s">
        <v>35</v>
      </c>
      <c r="R391" s="1" t="s">
        <v>36</v>
      </c>
      <c r="S391" s="5">
        <v>359640</v>
      </c>
      <c r="T391" s="1" t="s">
        <v>1303</v>
      </c>
      <c r="U391" s="1" t="s">
        <v>38</v>
      </c>
      <c r="V391" s="3">
        <v>46203.828472222202</v>
      </c>
      <c r="W391" s="6">
        <f t="shared" si="12"/>
        <v>2</v>
      </c>
      <c r="X391" s="6" t="str">
        <f t="shared" si="13"/>
        <v>Sim</v>
      </c>
    </row>
    <row r="392" spans="1:24" ht="15" customHeight="1" x14ac:dyDescent="0.3">
      <c r="A392" s="1" t="s">
        <v>1304</v>
      </c>
      <c r="B392" s="1" t="s">
        <v>25</v>
      </c>
      <c r="C392" s="1" t="s">
        <v>1296</v>
      </c>
      <c r="D392" s="1" t="s">
        <v>5</v>
      </c>
      <c r="E392" s="3">
        <v>46176.644444444399</v>
      </c>
      <c r="F392" s="3">
        <v>46190.5</v>
      </c>
      <c r="G392" s="3">
        <v>46190.5</v>
      </c>
      <c r="H392" s="1" t="s">
        <v>1297</v>
      </c>
      <c r="I392" s="1" t="s">
        <v>1305</v>
      </c>
      <c r="J392" s="1" t="s">
        <v>867</v>
      </c>
      <c r="K392" s="1" t="s">
        <v>30</v>
      </c>
      <c r="L392" s="1" t="s">
        <v>1299</v>
      </c>
      <c r="M392" s="1" t="s">
        <v>62</v>
      </c>
      <c r="N392" s="4">
        <v>36</v>
      </c>
      <c r="O392" s="1" t="s">
        <v>46</v>
      </c>
      <c r="P392" s="1" t="s">
        <v>47</v>
      </c>
      <c r="Q392" s="1" t="s">
        <v>35</v>
      </c>
      <c r="R392" s="1" t="s">
        <v>36</v>
      </c>
      <c r="S392" s="5">
        <v>589020</v>
      </c>
      <c r="T392" s="1" t="s">
        <v>1306</v>
      </c>
      <c r="U392" s="1" t="s">
        <v>38</v>
      </c>
      <c r="V392" s="3">
        <v>46183.461805555598</v>
      </c>
      <c r="W392" s="6">
        <f t="shared" si="12"/>
        <v>3</v>
      </c>
      <c r="X392" s="6" t="str">
        <f t="shared" si="13"/>
        <v>Sim</v>
      </c>
    </row>
    <row r="393" spans="1:24" ht="15" customHeight="1" x14ac:dyDescent="0.3">
      <c r="A393" s="1" t="s">
        <v>1307</v>
      </c>
      <c r="B393" s="1" t="s">
        <v>25</v>
      </c>
      <c r="C393" s="1" t="s">
        <v>1296</v>
      </c>
      <c r="D393" s="1" t="s">
        <v>5</v>
      </c>
      <c r="E393" s="3">
        <v>46183.563194444498</v>
      </c>
      <c r="F393" s="3">
        <v>46199.416666666701</v>
      </c>
      <c r="G393" s="3">
        <v>46199.416666666701</v>
      </c>
      <c r="H393" s="1" t="s">
        <v>1297</v>
      </c>
      <c r="I393" s="1" t="s">
        <v>1308</v>
      </c>
      <c r="J393" s="1" t="s">
        <v>1309</v>
      </c>
      <c r="K393" s="1" t="s">
        <v>30</v>
      </c>
      <c r="L393" s="1" t="s">
        <v>1299</v>
      </c>
      <c r="M393" s="1" t="s">
        <v>62</v>
      </c>
      <c r="N393" s="4">
        <v>36</v>
      </c>
      <c r="O393" s="1" t="s">
        <v>46</v>
      </c>
      <c r="P393" s="1" t="s">
        <v>47</v>
      </c>
      <c r="Q393" s="1" t="s">
        <v>35</v>
      </c>
      <c r="R393" s="1" t="s">
        <v>36</v>
      </c>
      <c r="S393" s="5">
        <v>761520</v>
      </c>
      <c r="T393" s="1" t="s">
        <v>1310</v>
      </c>
      <c r="U393" s="1" t="s">
        <v>38</v>
      </c>
      <c r="V393" s="3">
        <v>46192.377083333296</v>
      </c>
      <c r="W393" s="6">
        <f t="shared" si="12"/>
        <v>1</v>
      </c>
      <c r="X393" s="6" t="str">
        <f t="shared" si="13"/>
        <v>Não</v>
      </c>
    </row>
    <row r="394" spans="1:24" ht="15" customHeight="1" x14ac:dyDescent="0.3">
      <c r="A394" s="1" t="s">
        <v>374</v>
      </c>
      <c r="B394" s="1" t="s">
        <v>25</v>
      </c>
      <c r="C394" s="1" t="s">
        <v>1296</v>
      </c>
      <c r="D394" s="1" t="s">
        <v>5</v>
      </c>
      <c r="E394" s="3">
        <v>46219.3840277778</v>
      </c>
      <c r="F394" s="3">
        <v>46234.375</v>
      </c>
      <c r="G394" s="3">
        <v>46234.375</v>
      </c>
      <c r="H394" s="1" t="s">
        <v>1297</v>
      </c>
      <c r="I394" s="1" t="s">
        <v>1311</v>
      </c>
      <c r="J394" s="1" t="s">
        <v>308</v>
      </c>
      <c r="K394" s="1" t="s">
        <v>30</v>
      </c>
      <c r="L394" s="1" t="s">
        <v>1299</v>
      </c>
      <c r="M394" s="1" t="s">
        <v>62</v>
      </c>
      <c r="N394" s="4">
        <v>36</v>
      </c>
      <c r="O394" s="1" t="s">
        <v>46</v>
      </c>
      <c r="P394" s="1" t="s">
        <v>47</v>
      </c>
      <c r="Q394" s="1" t="s">
        <v>35</v>
      </c>
      <c r="R394" s="1" t="s">
        <v>36</v>
      </c>
      <c r="S394" s="5">
        <v>690240</v>
      </c>
      <c r="T394" s="1" t="s">
        <v>1312</v>
      </c>
      <c r="U394" s="1" t="s">
        <v>38</v>
      </c>
      <c r="V394" s="3">
        <v>46227.372916666704</v>
      </c>
      <c r="W394" s="6">
        <f t="shared" si="12"/>
        <v>1</v>
      </c>
      <c r="X394" s="6" t="str">
        <f t="shared" si="13"/>
        <v>Não</v>
      </c>
    </row>
    <row r="395" spans="1:24" ht="15" customHeight="1" x14ac:dyDescent="0.3">
      <c r="A395" s="1" t="s">
        <v>1313</v>
      </c>
      <c r="B395" s="1" t="s">
        <v>25</v>
      </c>
      <c r="C395" s="1" t="s">
        <v>1296</v>
      </c>
      <c r="D395" s="1" t="s">
        <v>5</v>
      </c>
      <c r="E395" s="3">
        <v>46246.422222222202</v>
      </c>
      <c r="F395" s="3">
        <v>46258.583333333299</v>
      </c>
      <c r="G395" s="3">
        <v>46258.583333333299</v>
      </c>
      <c r="H395" s="1" t="s">
        <v>1297</v>
      </c>
      <c r="I395" s="1" t="s">
        <v>1314</v>
      </c>
      <c r="J395" s="1" t="s">
        <v>867</v>
      </c>
      <c r="K395" s="1" t="s">
        <v>30</v>
      </c>
      <c r="L395" s="1" t="s">
        <v>1299</v>
      </c>
      <c r="M395" s="1" t="s">
        <v>62</v>
      </c>
      <c r="N395" s="4">
        <v>36</v>
      </c>
      <c r="O395" s="1" t="s">
        <v>46</v>
      </c>
      <c r="P395" s="1" t="s">
        <v>47</v>
      </c>
      <c r="Q395" s="1" t="s">
        <v>145</v>
      </c>
      <c r="R395" s="1" t="s">
        <v>36</v>
      </c>
      <c r="S395" s="5">
        <v>445560</v>
      </c>
      <c r="T395" s="1" t="s">
        <v>1315</v>
      </c>
      <c r="U395" s="1" t="s">
        <v>38</v>
      </c>
      <c r="V395" s="3">
        <v>46251.579166666699</v>
      </c>
      <c r="W395" s="6">
        <f t="shared" si="12"/>
        <v>3</v>
      </c>
      <c r="X395" s="6" t="str">
        <f t="shared" si="13"/>
        <v>Sim</v>
      </c>
    </row>
    <row r="396" spans="1:24" ht="15" customHeight="1" x14ac:dyDescent="0.3">
      <c r="A396" s="1" t="s">
        <v>1316</v>
      </c>
      <c r="B396" s="1" t="s">
        <v>25</v>
      </c>
      <c r="C396" s="1" t="s">
        <v>1296</v>
      </c>
      <c r="D396" s="1" t="s">
        <v>5</v>
      </c>
      <c r="E396" s="3">
        <v>46258.654861111099</v>
      </c>
      <c r="F396" s="3">
        <v>46267.375</v>
      </c>
      <c r="G396" s="3">
        <v>46267.375</v>
      </c>
      <c r="H396" s="1" t="s">
        <v>1297</v>
      </c>
      <c r="I396" s="1" t="s">
        <v>1317</v>
      </c>
      <c r="J396" s="1" t="s">
        <v>1318</v>
      </c>
      <c r="K396" s="1" t="s">
        <v>30</v>
      </c>
      <c r="L396" s="1" t="s">
        <v>1299</v>
      </c>
      <c r="M396" s="1" t="s">
        <v>62</v>
      </c>
      <c r="N396" s="4">
        <v>36</v>
      </c>
      <c r="O396" s="1" t="s">
        <v>46</v>
      </c>
      <c r="P396" s="1" t="s">
        <v>47</v>
      </c>
      <c r="Q396" s="1" t="s">
        <v>35</v>
      </c>
      <c r="R396" s="1" t="s">
        <v>36</v>
      </c>
      <c r="S396" s="5">
        <v>147720</v>
      </c>
      <c r="T396" s="1" t="s">
        <v>1319</v>
      </c>
      <c r="U396" s="1" t="s">
        <v>38</v>
      </c>
      <c r="V396" s="3">
        <v>46260.364583333299</v>
      </c>
      <c r="W396" s="6">
        <f t="shared" si="12"/>
        <v>1</v>
      </c>
      <c r="X396" s="6" t="str">
        <f t="shared" si="13"/>
        <v>Não</v>
      </c>
    </row>
    <row r="397" spans="1:24" ht="15" customHeight="1" x14ac:dyDescent="0.3">
      <c r="A397" s="1" t="s">
        <v>1320</v>
      </c>
      <c r="B397" s="1" t="s">
        <v>25</v>
      </c>
      <c r="C397" s="1" t="s">
        <v>1296</v>
      </c>
      <c r="D397" s="1" t="s">
        <v>5</v>
      </c>
      <c r="E397" s="3">
        <v>46251.433333333298</v>
      </c>
      <c r="F397" s="3">
        <v>46260.583333333299</v>
      </c>
      <c r="G397" s="3">
        <v>46260.583333333299</v>
      </c>
      <c r="H397" s="1" t="s">
        <v>1297</v>
      </c>
      <c r="I397" s="1" t="s">
        <v>1321</v>
      </c>
      <c r="J397" s="1" t="s">
        <v>189</v>
      </c>
      <c r="K397" s="1" t="s">
        <v>30</v>
      </c>
      <c r="L397" s="1" t="s">
        <v>1299</v>
      </c>
      <c r="M397" s="1" t="s">
        <v>62</v>
      </c>
      <c r="N397" s="4">
        <v>36</v>
      </c>
      <c r="O397" s="1" t="s">
        <v>46</v>
      </c>
      <c r="P397" s="1" t="s">
        <v>47</v>
      </c>
      <c r="Q397" s="1" t="s">
        <v>35</v>
      </c>
      <c r="R397" s="1" t="s">
        <v>36</v>
      </c>
      <c r="S397" s="5">
        <v>183960</v>
      </c>
      <c r="T397" s="1" t="s">
        <v>1322</v>
      </c>
      <c r="U397" s="1" t="s">
        <v>38</v>
      </c>
      <c r="V397" s="3">
        <v>46253.5625</v>
      </c>
      <c r="W397" s="6">
        <f t="shared" si="12"/>
        <v>1</v>
      </c>
      <c r="X397" s="6" t="str">
        <f t="shared" si="13"/>
        <v>Não</v>
      </c>
    </row>
    <row r="398" spans="1:24" ht="15" customHeight="1" x14ac:dyDescent="0.3">
      <c r="A398" s="1" t="s">
        <v>1323</v>
      </c>
      <c r="B398" s="1" t="s">
        <v>25</v>
      </c>
      <c r="C398" s="1" t="s">
        <v>1296</v>
      </c>
      <c r="D398" s="1" t="s">
        <v>5</v>
      </c>
      <c r="E398" s="3">
        <v>46240.661805555603</v>
      </c>
      <c r="F398" s="3">
        <v>46254.625</v>
      </c>
      <c r="G398" s="3">
        <v>46254.625</v>
      </c>
      <c r="H398" s="1" t="s">
        <v>1297</v>
      </c>
      <c r="I398" s="1" t="s">
        <v>1324</v>
      </c>
      <c r="J398" s="1" t="s">
        <v>867</v>
      </c>
      <c r="K398" s="1" t="s">
        <v>30</v>
      </c>
      <c r="L398" s="1" t="s">
        <v>1299</v>
      </c>
      <c r="M398" s="1" t="s">
        <v>62</v>
      </c>
      <c r="N398" s="4">
        <v>36</v>
      </c>
      <c r="O398" s="1" t="s">
        <v>46</v>
      </c>
      <c r="P398" s="1" t="s">
        <v>47</v>
      </c>
      <c r="Q398" s="1" t="s">
        <v>35</v>
      </c>
      <c r="R398" s="1" t="s">
        <v>36</v>
      </c>
      <c r="S398" s="5">
        <v>598920</v>
      </c>
      <c r="T398" s="1" t="s">
        <v>1325</v>
      </c>
      <c r="U398" s="1" t="s">
        <v>38</v>
      </c>
      <c r="V398" s="3">
        <v>46247.59375</v>
      </c>
      <c r="W398" s="6">
        <f t="shared" si="12"/>
        <v>3</v>
      </c>
      <c r="X398" s="6" t="str">
        <f t="shared" si="13"/>
        <v>Sim</v>
      </c>
    </row>
    <row r="399" spans="1:24" ht="15" customHeight="1" x14ac:dyDescent="0.3">
      <c r="A399" s="1" t="s">
        <v>169</v>
      </c>
      <c r="B399" s="1" t="s">
        <v>25</v>
      </c>
      <c r="C399" s="1" t="s">
        <v>1326</v>
      </c>
      <c r="D399" s="1" t="s">
        <v>5</v>
      </c>
      <c r="E399" s="3">
        <v>46186.483333333301</v>
      </c>
      <c r="F399" s="3">
        <v>46189.461805555598</v>
      </c>
      <c r="G399" s="3">
        <v>46189.461805555598</v>
      </c>
      <c r="H399" s="1" t="s">
        <v>1327</v>
      </c>
      <c r="I399" s="1" t="s">
        <v>1328</v>
      </c>
      <c r="J399" s="1" t="s">
        <v>1329</v>
      </c>
      <c r="K399" s="1" t="s">
        <v>1330</v>
      </c>
      <c r="L399" s="1" t="s">
        <v>31</v>
      </c>
      <c r="M399" s="1" t="s">
        <v>143</v>
      </c>
      <c r="N399" s="4">
        <v>60</v>
      </c>
      <c r="O399" s="1" t="s">
        <v>46</v>
      </c>
      <c r="P399" s="1" t="s">
        <v>1331</v>
      </c>
      <c r="Q399" s="1" t="s">
        <v>145</v>
      </c>
      <c r="R399" s="1" t="s">
        <v>36</v>
      </c>
      <c r="S399" s="5">
        <v>18300</v>
      </c>
      <c r="T399" s="1" t="s">
        <v>146</v>
      </c>
      <c r="U399" s="1" t="s">
        <v>38</v>
      </c>
      <c r="V399" s="3">
        <v>46186.695138888899</v>
      </c>
      <c r="W399" s="6">
        <f t="shared" si="12"/>
        <v>1</v>
      </c>
      <c r="X399" s="6" t="str">
        <f t="shared" si="13"/>
        <v>Não</v>
      </c>
    </row>
    <row r="400" spans="1:24" ht="15" customHeight="1" x14ac:dyDescent="0.3">
      <c r="A400" s="1" t="s">
        <v>1332</v>
      </c>
      <c r="B400" s="1" t="s">
        <v>25</v>
      </c>
      <c r="C400" s="1" t="s">
        <v>1333</v>
      </c>
      <c r="D400" s="1" t="s">
        <v>5</v>
      </c>
      <c r="E400" s="3">
        <v>46176.333333333299</v>
      </c>
      <c r="F400" s="3">
        <v>46188.333333333299</v>
      </c>
      <c r="G400" s="3">
        <v>46188.333333333299</v>
      </c>
      <c r="H400" s="1" t="s">
        <v>1334</v>
      </c>
      <c r="I400" s="1" t="s">
        <v>1335</v>
      </c>
      <c r="J400" s="1" t="s">
        <v>1336</v>
      </c>
      <c r="K400" s="1" t="s">
        <v>30</v>
      </c>
      <c r="L400" s="1" t="s">
        <v>31</v>
      </c>
      <c r="M400" s="1" t="s">
        <v>62</v>
      </c>
      <c r="N400" s="4">
        <v>36</v>
      </c>
      <c r="O400" s="1" t="s">
        <v>46</v>
      </c>
      <c r="P400" s="1" t="s">
        <v>47</v>
      </c>
      <c r="Q400" s="1" t="s">
        <v>35</v>
      </c>
      <c r="R400" s="1" t="s">
        <v>36</v>
      </c>
      <c r="S400" s="5">
        <v>430620</v>
      </c>
      <c r="T400" s="1" t="s">
        <v>1337</v>
      </c>
      <c r="U400" s="1" t="s">
        <v>38</v>
      </c>
      <c r="V400" s="3">
        <v>46181.317361111098</v>
      </c>
      <c r="W400" s="6">
        <f t="shared" si="12"/>
        <v>1</v>
      </c>
      <c r="X400" s="6" t="str">
        <f t="shared" si="13"/>
        <v>Não</v>
      </c>
    </row>
    <row r="401" spans="1:24" ht="15" customHeight="1" x14ac:dyDescent="0.3">
      <c r="A401" s="1" t="s">
        <v>1338</v>
      </c>
      <c r="B401" s="1" t="s">
        <v>25</v>
      </c>
      <c r="C401" s="1" t="s">
        <v>1333</v>
      </c>
      <c r="D401" s="1" t="s">
        <v>5</v>
      </c>
      <c r="E401" s="3">
        <v>46218.418055555601</v>
      </c>
      <c r="F401" s="3">
        <v>46226.459027777797</v>
      </c>
      <c r="G401" s="3">
        <v>46226.459027777797</v>
      </c>
      <c r="H401" s="1" t="s">
        <v>1334</v>
      </c>
      <c r="I401" s="1" t="s">
        <v>1339</v>
      </c>
      <c r="J401" s="1" t="s">
        <v>1340</v>
      </c>
      <c r="K401" s="1" t="s">
        <v>30</v>
      </c>
      <c r="L401" s="1" t="s">
        <v>1341</v>
      </c>
      <c r="M401" s="1" t="s">
        <v>62</v>
      </c>
      <c r="N401" s="4">
        <v>36</v>
      </c>
      <c r="O401" s="1" t="s">
        <v>46</v>
      </c>
      <c r="P401" s="1" t="s">
        <v>47</v>
      </c>
      <c r="Q401" s="1" t="s">
        <v>35</v>
      </c>
      <c r="R401" s="1" t="s">
        <v>36</v>
      </c>
      <c r="S401" s="5">
        <v>89400</v>
      </c>
      <c r="T401" s="1" t="s">
        <v>1342</v>
      </c>
      <c r="U401" s="1" t="s">
        <v>38</v>
      </c>
      <c r="V401" s="3">
        <v>46219.452777777798</v>
      </c>
      <c r="W401" s="6">
        <f t="shared" si="12"/>
        <v>1</v>
      </c>
      <c r="X401" s="6" t="str">
        <f t="shared" si="13"/>
        <v>Não</v>
      </c>
    </row>
    <row r="402" spans="1:24" ht="15" customHeight="1" x14ac:dyDescent="0.3">
      <c r="A402" s="1" t="s">
        <v>1343</v>
      </c>
      <c r="B402" s="1" t="s">
        <v>25</v>
      </c>
      <c r="C402" s="1" t="s">
        <v>1344</v>
      </c>
      <c r="D402" s="1" t="s">
        <v>5</v>
      </c>
      <c r="E402" s="3">
        <v>46174.668055555601</v>
      </c>
      <c r="F402" s="3">
        <v>46185.416666666701</v>
      </c>
      <c r="G402" s="3">
        <v>46185.416666666701</v>
      </c>
      <c r="H402" s="1" t="s">
        <v>1345</v>
      </c>
      <c r="I402" s="1" t="s">
        <v>1346</v>
      </c>
      <c r="J402" s="1" t="s">
        <v>101</v>
      </c>
      <c r="K402" s="1" t="s">
        <v>260</v>
      </c>
      <c r="L402" s="1" t="s">
        <v>31</v>
      </c>
      <c r="M402" s="1" t="s">
        <v>62</v>
      </c>
      <c r="N402" s="4">
        <v>24</v>
      </c>
      <c r="O402" s="1" t="s">
        <v>46</v>
      </c>
      <c r="P402" s="1" t="s">
        <v>47</v>
      </c>
      <c r="Q402" s="1" t="s">
        <v>35</v>
      </c>
      <c r="R402" s="1" t="s">
        <v>36</v>
      </c>
      <c r="S402" s="5">
        <v>321780</v>
      </c>
      <c r="T402" s="1" t="s">
        <v>1347</v>
      </c>
      <c r="U402" s="1" t="s">
        <v>38</v>
      </c>
      <c r="V402" s="3">
        <v>46178.392361111102</v>
      </c>
      <c r="W402" s="6">
        <f t="shared" si="12"/>
        <v>3</v>
      </c>
      <c r="X402" s="6" t="str">
        <f t="shared" si="13"/>
        <v>Sim</v>
      </c>
    </row>
    <row r="403" spans="1:24" ht="15" customHeight="1" x14ac:dyDescent="0.3">
      <c r="A403" s="1" t="s">
        <v>1348</v>
      </c>
      <c r="B403" s="1" t="s">
        <v>25</v>
      </c>
      <c r="C403" s="1" t="s">
        <v>1344</v>
      </c>
      <c r="D403" s="1" t="s">
        <v>5</v>
      </c>
      <c r="E403" s="3">
        <v>46191.412499999999</v>
      </c>
      <c r="F403" s="3">
        <v>46202.666666666701</v>
      </c>
      <c r="G403" s="3">
        <v>46202.666666666701</v>
      </c>
      <c r="H403" s="1" t="s">
        <v>1345</v>
      </c>
      <c r="I403" s="1" t="s">
        <v>1349</v>
      </c>
      <c r="J403" s="1" t="s">
        <v>308</v>
      </c>
      <c r="K403" s="1" t="s">
        <v>30</v>
      </c>
      <c r="L403" s="1" t="s">
        <v>31</v>
      </c>
      <c r="M403" s="1" t="s">
        <v>32</v>
      </c>
      <c r="N403" s="4">
        <v>36</v>
      </c>
      <c r="O403" s="1" t="s">
        <v>46</v>
      </c>
      <c r="P403" s="1" t="s">
        <v>47</v>
      </c>
      <c r="Q403" s="1" t="s">
        <v>35</v>
      </c>
      <c r="R403" s="1" t="s">
        <v>36</v>
      </c>
      <c r="S403" s="5">
        <v>365820</v>
      </c>
      <c r="T403" s="1" t="s">
        <v>1350</v>
      </c>
      <c r="U403" s="1" t="s">
        <v>38</v>
      </c>
      <c r="V403" s="3">
        <v>46195.646527777797</v>
      </c>
      <c r="W403" s="6">
        <f t="shared" si="12"/>
        <v>1</v>
      </c>
      <c r="X403" s="6" t="str">
        <f t="shared" si="13"/>
        <v>Não</v>
      </c>
    </row>
    <row r="404" spans="1:24" ht="15" customHeight="1" x14ac:dyDescent="0.3">
      <c r="A404" s="1" t="s">
        <v>1351</v>
      </c>
      <c r="B404" s="1" t="s">
        <v>25</v>
      </c>
      <c r="C404" s="1" t="s">
        <v>1344</v>
      </c>
      <c r="D404" s="1" t="s">
        <v>5</v>
      </c>
      <c r="E404" s="3">
        <v>46191.642361111102</v>
      </c>
      <c r="F404" s="3">
        <v>46202.666666666701</v>
      </c>
      <c r="G404" s="3">
        <v>46202.666666666701</v>
      </c>
      <c r="H404" s="1" t="s">
        <v>1352</v>
      </c>
      <c r="I404" s="1" t="s">
        <v>1353</v>
      </c>
      <c r="J404" s="1" t="s">
        <v>1354</v>
      </c>
      <c r="K404" s="1" t="s">
        <v>30</v>
      </c>
      <c r="L404" s="1" t="s">
        <v>1341</v>
      </c>
      <c r="M404" s="1" t="s">
        <v>32</v>
      </c>
      <c r="N404" s="4">
        <v>36</v>
      </c>
      <c r="O404" s="1" t="s">
        <v>246</v>
      </c>
      <c r="P404" s="1" t="s">
        <v>1355</v>
      </c>
      <c r="Q404" s="1" t="s">
        <v>35</v>
      </c>
      <c r="R404" s="1" t="s">
        <v>36</v>
      </c>
      <c r="S404" s="5">
        <v>345660</v>
      </c>
      <c r="T404" s="1" t="s">
        <v>1356</v>
      </c>
      <c r="U404" s="1" t="s">
        <v>38</v>
      </c>
      <c r="V404" s="3">
        <v>46195.6430555556</v>
      </c>
      <c r="W404" s="6">
        <f t="shared" si="12"/>
        <v>1</v>
      </c>
      <c r="X404" s="6" t="str">
        <f t="shared" si="13"/>
        <v>Não</v>
      </c>
    </row>
    <row r="405" spans="1:24" ht="15" customHeight="1" x14ac:dyDescent="0.3">
      <c r="A405" s="1" t="s">
        <v>1357</v>
      </c>
      <c r="B405" s="1" t="s">
        <v>25</v>
      </c>
      <c r="C405" s="1" t="s">
        <v>1344</v>
      </c>
      <c r="D405" s="1" t="s">
        <v>5</v>
      </c>
      <c r="E405" s="3">
        <v>46218.370138888902</v>
      </c>
      <c r="F405" s="3">
        <v>46226.667361111096</v>
      </c>
      <c r="G405" s="3">
        <v>46226.667361111096</v>
      </c>
      <c r="H405" s="1" t="s">
        <v>1358</v>
      </c>
      <c r="I405" s="1" t="s">
        <v>1359</v>
      </c>
      <c r="J405" s="1" t="s">
        <v>1360</v>
      </c>
      <c r="K405" s="1" t="s">
        <v>30</v>
      </c>
      <c r="L405" s="1" t="s">
        <v>1341</v>
      </c>
      <c r="M405" s="1" t="s">
        <v>32</v>
      </c>
      <c r="N405" s="4">
        <v>36</v>
      </c>
      <c r="O405" s="1" t="s">
        <v>46</v>
      </c>
      <c r="P405" s="1" t="s">
        <v>47</v>
      </c>
      <c r="Q405" s="1" t="s">
        <v>35</v>
      </c>
      <c r="R405" s="1" t="s">
        <v>36</v>
      </c>
      <c r="S405" s="5">
        <v>111300</v>
      </c>
      <c r="T405" s="1" t="s">
        <v>443</v>
      </c>
      <c r="U405" s="1" t="s">
        <v>38</v>
      </c>
      <c r="V405" s="3">
        <v>46219.658333333296</v>
      </c>
      <c r="W405" s="6">
        <f t="shared" si="12"/>
        <v>1</v>
      </c>
      <c r="X405" s="6" t="str">
        <f t="shared" si="13"/>
        <v>Não</v>
      </c>
    </row>
    <row r="406" spans="1:24" ht="15" customHeight="1" x14ac:dyDescent="0.3">
      <c r="A406" s="1" t="s">
        <v>1361</v>
      </c>
      <c r="B406" s="1" t="s">
        <v>25</v>
      </c>
      <c r="C406" s="1" t="s">
        <v>1344</v>
      </c>
      <c r="D406" s="1" t="s">
        <v>5</v>
      </c>
      <c r="E406" s="3">
        <v>46178.360416666699</v>
      </c>
      <c r="F406" s="3">
        <v>46191.625</v>
      </c>
      <c r="G406" s="3">
        <v>46191.625</v>
      </c>
      <c r="H406" s="1" t="s">
        <v>1352</v>
      </c>
      <c r="I406" s="1" t="s">
        <v>1362</v>
      </c>
      <c r="J406" s="1" t="s">
        <v>101</v>
      </c>
      <c r="K406" s="1" t="s">
        <v>30</v>
      </c>
      <c r="L406" s="1" t="s">
        <v>1341</v>
      </c>
      <c r="M406" s="1" t="s">
        <v>32</v>
      </c>
      <c r="N406" s="4">
        <v>36</v>
      </c>
      <c r="O406" s="1" t="s">
        <v>246</v>
      </c>
      <c r="P406" s="1" t="s">
        <v>47</v>
      </c>
      <c r="Q406" s="1" t="s">
        <v>68</v>
      </c>
      <c r="R406" s="1" t="s">
        <v>36</v>
      </c>
      <c r="S406" s="5">
        <v>537960</v>
      </c>
      <c r="T406" s="1" t="s">
        <v>69</v>
      </c>
      <c r="U406" s="1" t="s">
        <v>38</v>
      </c>
      <c r="V406" s="3">
        <v>46184.586805555598</v>
      </c>
      <c r="W406" s="6">
        <f t="shared" si="12"/>
        <v>3</v>
      </c>
      <c r="X406" s="6" t="str">
        <f t="shared" si="13"/>
        <v>Sim</v>
      </c>
    </row>
    <row r="407" spans="1:24" ht="15" customHeight="1" x14ac:dyDescent="0.3">
      <c r="A407" s="1" t="s">
        <v>1363</v>
      </c>
      <c r="B407" s="1" t="s">
        <v>25</v>
      </c>
      <c r="C407" s="1" t="s">
        <v>1344</v>
      </c>
      <c r="D407" s="1" t="s">
        <v>5</v>
      </c>
      <c r="E407" s="3">
        <v>46191.335416666698</v>
      </c>
      <c r="F407" s="3">
        <v>46204.583333333299</v>
      </c>
      <c r="G407" s="3">
        <v>46204.583333333299</v>
      </c>
      <c r="H407" s="1" t="s">
        <v>1345</v>
      </c>
      <c r="I407" s="1" t="s">
        <v>1364</v>
      </c>
      <c r="J407" s="1" t="s">
        <v>75</v>
      </c>
      <c r="K407" s="1" t="s">
        <v>30</v>
      </c>
      <c r="L407" s="1" t="s">
        <v>1341</v>
      </c>
      <c r="M407" s="1" t="s">
        <v>32</v>
      </c>
      <c r="N407" s="4">
        <v>36</v>
      </c>
      <c r="O407" s="1" t="s">
        <v>46</v>
      </c>
      <c r="P407" s="1" t="s">
        <v>47</v>
      </c>
      <c r="Q407" s="1" t="s">
        <v>35</v>
      </c>
      <c r="R407" s="1" t="s">
        <v>36</v>
      </c>
      <c r="S407" s="5">
        <v>538980</v>
      </c>
      <c r="T407" s="1" t="s">
        <v>1365</v>
      </c>
      <c r="U407" s="1" t="s">
        <v>38</v>
      </c>
      <c r="V407" s="3">
        <v>46197.573611111096</v>
      </c>
      <c r="W407" s="6">
        <f t="shared" si="12"/>
        <v>1</v>
      </c>
      <c r="X407" s="6" t="str">
        <f t="shared" si="13"/>
        <v>Não</v>
      </c>
    </row>
    <row r="408" spans="1:24" ht="15" customHeight="1" x14ac:dyDescent="0.3">
      <c r="A408" s="1" t="s">
        <v>1366</v>
      </c>
      <c r="B408" s="1" t="s">
        <v>25</v>
      </c>
      <c r="C408" s="1" t="s">
        <v>1344</v>
      </c>
      <c r="D408" s="1" t="s">
        <v>5</v>
      </c>
      <c r="E408" s="3">
        <v>46220.620138888902</v>
      </c>
      <c r="F408" s="3">
        <v>46232.416666666701</v>
      </c>
      <c r="G408" s="3">
        <v>46232.416666666701</v>
      </c>
      <c r="H408" s="1" t="s">
        <v>1345</v>
      </c>
      <c r="I408" s="1" t="s">
        <v>1367</v>
      </c>
      <c r="J408" s="1" t="s">
        <v>101</v>
      </c>
      <c r="K408" s="1" t="s">
        <v>30</v>
      </c>
      <c r="L408" s="1" t="s">
        <v>1341</v>
      </c>
      <c r="M408" s="1" t="s">
        <v>32</v>
      </c>
      <c r="N408" s="4">
        <v>36</v>
      </c>
      <c r="O408" s="1" t="s">
        <v>46</v>
      </c>
      <c r="P408" s="1" t="s">
        <v>47</v>
      </c>
      <c r="Q408" s="1" t="s">
        <v>35</v>
      </c>
      <c r="R408" s="1" t="s">
        <v>36</v>
      </c>
      <c r="S408" s="5">
        <v>411900</v>
      </c>
      <c r="T408" s="1" t="s">
        <v>434</v>
      </c>
      <c r="U408" s="1" t="s">
        <v>38</v>
      </c>
      <c r="V408" s="3">
        <v>46225.387499999997</v>
      </c>
      <c r="W408" s="6">
        <f t="shared" si="12"/>
        <v>3</v>
      </c>
      <c r="X408" s="6" t="str">
        <f t="shared" si="13"/>
        <v>Sim</v>
      </c>
    </row>
    <row r="409" spans="1:24" ht="15" customHeight="1" x14ac:dyDescent="0.3">
      <c r="A409" s="1" t="s">
        <v>1368</v>
      </c>
      <c r="B409" s="1" t="s">
        <v>25</v>
      </c>
      <c r="C409" s="1" t="s">
        <v>1344</v>
      </c>
      <c r="D409" s="1" t="s">
        <v>5</v>
      </c>
      <c r="E409" s="3">
        <v>46245.724999999999</v>
      </c>
      <c r="F409" s="3">
        <v>46251.539583333302</v>
      </c>
      <c r="G409" s="3">
        <v>46251.539583333302</v>
      </c>
      <c r="H409" s="1" t="s">
        <v>1358</v>
      </c>
      <c r="I409" s="1" t="s">
        <v>1369</v>
      </c>
      <c r="J409" s="1" t="s">
        <v>1370</v>
      </c>
      <c r="K409" s="1" t="s">
        <v>30</v>
      </c>
      <c r="L409" s="1" t="s">
        <v>31</v>
      </c>
      <c r="M409" s="1" t="s">
        <v>32</v>
      </c>
      <c r="N409" s="4">
        <v>36</v>
      </c>
      <c r="O409" s="1" t="s">
        <v>46</v>
      </c>
      <c r="P409" s="1" t="s">
        <v>47</v>
      </c>
      <c r="Q409" s="1" t="s">
        <v>35</v>
      </c>
      <c r="R409" s="1" t="s">
        <v>36</v>
      </c>
      <c r="S409" s="5">
        <v>499020</v>
      </c>
      <c r="T409" s="1" t="s">
        <v>1371</v>
      </c>
      <c r="U409" s="1" t="s">
        <v>38</v>
      </c>
      <c r="V409" s="3">
        <v>46251.500694444498</v>
      </c>
      <c r="W409" s="6">
        <f t="shared" si="12"/>
        <v>1</v>
      </c>
      <c r="X409" s="6" t="str">
        <f t="shared" si="13"/>
        <v>Não</v>
      </c>
    </row>
    <row r="410" spans="1:24" ht="15" customHeight="1" x14ac:dyDescent="0.3">
      <c r="A410" s="1" t="s">
        <v>1372</v>
      </c>
      <c r="B410" s="1" t="s">
        <v>25</v>
      </c>
      <c r="C410" s="1" t="s">
        <v>1373</v>
      </c>
      <c r="D410" s="1" t="s">
        <v>5</v>
      </c>
      <c r="E410" s="3">
        <v>46190.478472222203</v>
      </c>
      <c r="F410" s="3">
        <v>46199.625</v>
      </c>
      <c r="G410" s="3">
        <v>46199.625</v>
      </c>
      <c r="H410" s="1" t="s">
        <v>501</v>
      </c>
      <c r="I410" s="1" t="s">
        <v>1374</v>
      </c>
      <c r="J410" s="1" t="s">
        <v>446</v>
      </c>
      <c r="K410" s="1" t="s">
        <v>30</v>
      </c>
      <c r="L410" s="1" t="s">
        <v>31</v>
      </c>
      <c r="M410" s="1" t="s">
        <v>32</v>
      </c>
      <c r="N410" s="4">
        <v>36</v>
      </c>
      <c r="O410" s="1" t="s">
        <v>46</v>
      </c>
      <c r="P410" s="1" t="s">
        <v>447</v>
      </c>
      <c r="Q410" s="1" t="s">
        <v>35</v>
      </c>
      <c r="R410" s="1" t="s">
        <v>36</v>
      </c>
      <c r="S410" s="5">
        <v>183120</v>
      </c>
      <c r="T410" s="1" t="s">
        <v>443</v>
      </c>
      <c r="U410" s="1" t="s">
        <v>38</v>
      </c>
      <c r="V410" s="3">
        <v>46192.597916666702</v>
      </c>
      <c r="W410" s="6">
        <f t="shared" si="12"/>
        <v>2</v>
      </c>
      <c r="X410" s="6" t="str">
        <f t="shared" si="13"/>
        <v>Sim</v>
      </c>
    </row>
    <row r="411" spans="1:24" ht="15" customHeight="1" x14ac:dyDescent="0.3">
      <c r="A411" s="1" t="s">
        <v>1375</v>
      </c>
      <c r="B411" s="1" t="s">
        <v>25</v>
      </c>
      <c r="C411" s="1" t="s">
        <v>1373</v>
      </c>
      <c r="D411" s="1" t="s">
        <v>5</v>
      </c>
      <c r="E411" s="3">
        <v>46217.445833333302</v>
      </c>
      <c r="F411" s="3">
        <v>46224.708333333299</v>
      </c>
      <c r="G411" s="3">
        <v>46224.708333333299</v>
      </c>
      <c r="H411" s="1" t="s">
        <v>501</v>
      </c>
      <c r="I411" s="1" t="s">
        <v>1376</v>
      </c>
      <c r="J411" s="1" t="s">
        <v>189</v>
      </c>
      <c r="K411" s="1" t="s">
        <v>260</v>
      </c>
      <c r="L411" s="1" t="s">
        <v>1341</v>
      </c>
      <c r="M411" s="1" t="s">
        <v>32</v>
      </c>
      <c r="N411" s="4">
        <v>24</v>
      </c>
      <c r="O411" s="1" t="s">
        <v>46</v>
      </c>
      <c r="P411" s="1" t="s">
        <v>447</v>
      </c>
      <c r="Q411" s="1" t="s">
        <v>35</v>
      </c>
      <c r="R411" s="1" t="s">
        <v>36</v>
      </c>
      <c r="S411" s="5">
        <v>21300</v>
      </c>
      <c r="T411" s="1" t="s">
        <v>1215</v>
      </c>
      <c r="U411" s="1" t="s">
        <v>38</v>
      </c>
      <c r="V411" s="3">
        <v>46217.692361111098</v>
      </c>
      <c r="W411" s="6">
        <f t="shared" si="12"/>
        <v>1</v>
      </c>
      <c r="X411" s="6" t="str">
        <f t="shared" si="13"/>
        <v>Não</v>
      </c>
    </row>
    <row r="412" spans="1:24" ht="15" customHeight="1" x14ac:dyDescent="0.3">
      <c r="A412" s="1" t="s">
        <v>1377</v>
      </c>
      <c r="B412" s="1" t="s">
        <v>25</v>
      </c>
      <c r="C412" s="1" t="s">
        <v>1373</v>
      </c>
      <c r="D412" s="1" t="s">
        <v>5</v>
      </c>
      <c r="E412" s="3">
        <v>46216.436805555597</v>
      </c>
      <c r="F412" s="3">
        <v>46224.708333333299</v>
      </c>
      <c r="G412" s="3">
        <v>46224.708333333299</v>
      </c>
      <c r="H412" s="1" t="s">
        <v>501</v>
      </c>
      <c r="I412" s="1" t="s">
        <v>1378</v>
      </c>
      <c r="J412" s="1" t="s">
        <v>446</v>
      </c>
      <c r="K412" s="1" t="s">
        <v>30</v>
      </c>
      <c r="L412" s="1" t="s">
        <v>1341</v>
      </c>
      <c r="M412" s="1" t="s">
        <v>32</v>
      </c>
      <c r="N412" s="4">
        <v>36</v>
      </c>
      <c r="O412" s="1" t="s">
        <v>46</v>
      </c>
      <c r="P412" s="1" t="s">
        <v>447</v>
      </c>
      <c r="Q412" s="1" t="s">
        <v>35</v>
      </c>
      <c r="R412" s="1" t="s">
        <v>36</v>
      </c>
      <c r="S412" s="5">
        <v>108480</v>
      </c>
      <c r="T412" s="1" t="s">
        <v>1215</v>
      </c>
      <c r="U412" s="1" t="s">
        <v>38</v>
      </c>
      <c r="V412" s="3">
        <v>46217.692361111098</v>
      </c>
      <c r="W412" s="6">
        <f t="shared" si="12"/>
        <v>2</v>
      </c>
      <c r="X412" s="6" t="str">
        <f t="shared" si="13"/>
        <v>Sim</v>
      </c>
    </row>
    <row r="413" spans="1:24" ht="15" customHeight="1" x14ac:dyDescent="0.3">
      <c r="A413" s="1" t="s">
        <v>1379</v>
      </c>
      <c r="B413" s="1" t="s">
        <v>25</v>
      </c>
      <c r="C413" s="1" t="s">
        <v>1373</v>
      </c>
      <c r="D413" s="1" t="s">
        <v>5</v>
      </c>
      <c r="E413" s="3">
        <v>46217.111111111102</v>
      </c>
      <c r="F413" s="3">
        <v>46225.5847222222</v>
      </c>
      <c r="G413" s="3">
        <v>46225.5847222222</v>
      </c>
      <c r="H413" s="1" t="s">
        <v>501</v>
      </c>
      <c r="I413" s="1" t="s">
        <v>1380</v>
      </c>
      <c r="J413" s="1" t="s">
        <v>1182</v>
      </c>
      <c r="K413" s="1" t="s">
        <v>260</v>
      </c>
      <c r="L413" s="1" t="s">
        <v>1341</v>
      </c>
      <c r="M413" s="1" t="s">
        <v>32</v>
      </c>
      <c r="N413" s="4">
        <v>24</v>
      </c>
      <c r="O413" s="1" t="s">
        <v>46</v>
      </c>
      <c r="P413" s="1" t="s">
        <v>447</v>
      </c>
      <c r="Q413" s="1" t="s">
        <v>35</v>
      </c>
      <c r="R413" s="1" t="s">
        <v>36</v>
      </c>
      <c r="S413" s="5">
        <v>125700</v>
      </c>
      <c r="T413" s="1" t="s">
        <v>1381</v>
      </c>
      <c r="U413" s="1" t="s">
        <v>38</v>
      </c>
      <c r="V413" s="3">
        <v>46218.565972222197</v>
      </c>
      <c r="W413" s="6">
        <f t="shared" si="12"/>
        <v>1</v>
      </c>
      <c r="X413" s="6" t="str">
        <f t="shared" si="13"/>
        <v>Não</v>
      </c>
    </row>
    <row r="414" spans="1:24" ht="15" customHeight="1" x14ac:dyDescent="0.3">
      <c r="A414" s="1" t="s">
        <v>1382</v>
      </c>
      <c r="B414" s="1" t="s">
        <v>25</v>
      </c>
      <c r="C414" s="1" t="s">
        <v>1373</v>
      </c>
      <c r="D414" s="1" t="s">
        <v>5</v>
      </c>
      <c r="E414" s="3">
        <v>46216.567361111098</v>
      </c>
      <c r="F414" s="3">
        <v>46223.358333333301</v>
      </c>
      <c r="G414" s="3">
        <v>46223.358333333301</v>
      </c>
      <c r="H414" s="1" t="s">
        <v>501</v>
      </c>
      <c r="I414" s="1" t="s">
        <v>1383</v>
      </c>
      <c r="J414" s="1" t="s">
        <v>748</v>
      </c>
      <c r="K414" s="1" t="s">
        <v>30</v>
      </c>
      <c r="L414" s="1" t="s">
        <v>1341</v>
      </c>
      <c r="M414" s="1" t="s">
        <v>32</v>
      </c>
      <c r="N414" s="4">
        <v>36</v>
      </c>
      <c r="O414" s="1" t="s">
        <v>46</v>
      </c>
      <c r="P414" s="1" t="s">
        <v>447</v>
      </c>
      <c r="Q414" s="1" t="s">
        <v>35</v>
      </c>
      <c r="R414" s="1" t="s">
        <v>36</v>
      </c>
      <c r="S414" s="5">
        <v>172740</v>
      </c>
      <c r="T414" s="1" t="s">
        <v>1381</v>
      </c>
      <c r="U414" s="1" t="s">
        <v>38</v>
      </c>
      <c r="V414" s="3">
        <v>46218.566666666702</v>
      </c>
      <c r="W414" s="6">
        <f t="shared" si="12"/>
        <v>1</v>
      </c>
      <c r="X414" s="6" t="str">
        <f t="shared" si="13"/>
        <v>Não</v>
      </c>
    </row>
    <row r="415" spans="1:24" ht="15" customHeight="1" x14ac:dyDescent="0.3">
      <c r="A415" s="1" t="s">
        <v>1384</v>
      </c>
      <c r="B415" s="1" t="s">
        <v>25</v>
      </c>
      <c r="C415" s="1" t="s">
        <v>1373</v>
      </c>
      <c r="D415" s="1" t="s">
        <v>5</v>
      </c>
      <c r="E415" s="3">
        <v>46253.649305555598</v>
      </c>
      <c r="F415" s="3">
        <v>46261.626388888901</v>
      </c>
      <c r="G415" s="3">
        <v>46261.626388888901</v>
      </c>
      <c r="H415" s="1" t="s">
        <v>501</v>
      </c>
      <c r="I415" s="1" t="s">
        <v>1385</v>
      </c>
      <c r="J415" s="1" t="s">
        <v>1386</v>
      </c>
      <c r="K415" s="1" t="s">
        <v>260</v>
      </c>
      <c r="L415" s="1" t="s">
        <v>1341</v>
      </c>
      <c r="M415" s="1" t="s">
        <v>62</v>
      </c>
      <c r="N415" s="4">
        <v>24</v>
      </c>
      <c r="O415" s="1" t="s">
        <v>46</v>
      </c>
      <c r="P415" s="1" t="s">
        <v>47</v>
      </c>
      <c r="Q415" s="1" t="s">
        <v>145</v>
      </c>
      <c r="R415" s="1" t="s">
        <v>36</v>
      </c>
      <c r="S415" s="5">
        <v>83100</v>
      </c>
      <c r="T415" s="1" t="s">
        <v>1387</v>
      </c>
      <c r="U415" s="1" t="s">
        <v>38</v>
      </c>
      <c r="V415" s="3">
        <v>46254.611111111102</v>
      </c>
      <c r="W415" s="6">
        <f t="shared" si="12"/>
        <v>1</v>
      </c>
      <c r="X415" s="6" t="str">
        <f t="shared" si="13"/>
        <v>Não</v>
      </c>
    </row>
    <row r="416" spans="1:24" ht="15" customHeight="1" x14ac:dyDescent="0.3">
      <c r="A416" s="1" t="s">
        <v>1388</v>
      </c>
      <c r="B416" s="1" t="s">
        <v>25</v>
      </c>
      <c r="C416" s="1" t="s">
        <v>1373</v>
      </c>
      <c r="D416" s="1" t="s">
        <v>5</v>
      </c>
      <c r="E416" s="3">
        <v>46224.368750000001</v>
      </c>
      <c r="F416" s="3">
        <v>46234.416666666701</v>
      </c>
      <c r="G416" s="3">
        <v>46234.416666666701</v>
      </c>
      <c r="H416" s="1" t="s">
        <v>501</v>
      </c>
      <c r="I416" s="1" t="s">
        <v>1389</v>
      </c>
      <c r="J416" s="1" t="s">
        <v>214</v>
      </c>
      <c r="K416" s="1" t="s">
        <v>260</v>
      </c>
      <c r="L416" s="1" t="s">
        <v>31</v>
      </c>
      <c r="M416" s="1" t="s">
        <v>32</v>
      </c>
      <c r="N416" s="4">
        <v>24</v>
      </c>
      <c r="O416" s="1" t="s">
        <v>46</v>
      </c>
      <c r="P416" s="1" t="s">
        <v>47</v>
      </c>
      <c r="Q416" s="1" t="s">
        <v>68</v>
      </c>
      <c r="R416" s="1" t="s">
        <v>36</v>
      </c>
      <c r="S416" s="5">
        <v>261600</v>
      </c>
      <c r="T416" s="1" t="s">
        <v>434</v>
      </c>
      <c r="U416" s="1" t="s">
        <v>38</v>
      </c>
      <c r="V416" s="3">
        <v>46227.396527777797</v>
      </c>
      <c r="W416" s="6">
        <f t="shared" si="12"/>
        <v>1</v>
      </c>
      <c r="X416" s="6" t="str">
        <f t="shared" si="13"/>
        <v>Não</v>
      </c>
    </row>
    <row r="417" spans="1:24" ht="15" customHeight="1" x14ac:dyDescent="0.3">
      <c r="A417" s="1" t="s">
        <v>1390</v>
      </c>
      <c r="B417" s="1" t="s">
        <v>25</v>
      </c>
      <c r="C417" s="1" t="s">
        <v>1373</v>
      </c>
      <c r="D417" s="1" t="s">
        <v>408</v>
      </c>
      <c r="E417" s="3">
        <v>46248.5847222222</v>
      </c>
      <c r="F417" s="3">
        <v>46252.808333333298</v>
      </c>
      <c r="G417" s="3">
        <v>46252.808333333298</v>
      </c>
      <c r="H417" s="1" t="s">
        <v>501</v>
      </c>
      <c r="I417" s="1" t="s">
        <v>1391</v>
      </c>
      <c r="J417" s="1" t="s">
        <v>1392</v>
      </c>
      <c r="K417" s="1" t="s">
        <v>30</v>
      </c>
      <c r="L417" s="1" t="s">
        <v>1341</v>
      </c>
      <c r="M417" s="1" t="s">
        <v>32</v>
      </c>
      <c r="N417" s="4">
        <v>36</v>
      </c>
      <c r="O417" s="1" t="s">
        <v>46</v>
      </c>
      <c r="P417" s="1" t="s">
        <v>1393</v>
      </c>
      <c r="R417" s="1" t="s">
        <v>36</v>
      </c>
      <c r="S417" s="5">
        <v>364920</v>
      </c>
      <c r="U417" s="1" t="s">
        <v>38</v>
      </c>
      <c r="V417" s="3"/>
      <c r="W417" s="6">
        <f t="shared" si="12"/>
        <v>1</v>
      </c>
      <c r="X417" s="6" t="str">
        <f t="shared" si="13"/>
        <v>Não</v>
      </c>
    </row>
  </sheetData>
  <autoFilter ref="A1:V417" xr:uid="{00000000-0009-0000-0000-000000000000}">
    <sortState xmlns:xlrd2="http://schemas.microsoft.com/office/spreadsheetml/2017/richdata2" ref="A2:V417">
      <sortCondition ref="A2:A417"/>
    </sortState>
  </autoFilter>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incidente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dc:description/>
  <cp:lastModifiedBy>Michel Costa</cp:lastModifiedBy>
  <cp:revision>0</cp:revision>
  <dcterms:created xsi:type="dcterms:W3CDTF">2026-09-10T18:20:05Z</dcterms:created>
  <dcterms:modified xsi:type="dcterms:W3CDTF">2026-09-14T17:15:52Z</dcterms:modified>
  <dc:language>en-US</dc:language>
</cp:coreProperties>
</file>